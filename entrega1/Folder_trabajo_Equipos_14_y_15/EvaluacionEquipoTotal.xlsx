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data!$A$1:$AF$61</definedName>
  </definedNames>
  <calcPr/>
  <pivotCaches>
    <pivotCache cacheId="0" r:id="rId5"/>
  </pivotCaches>
  <extLst>
    <ext uri="GoogleSheetsCustomDataVersion2">
      <go:sheetsCustomData xmlns:go="http://customooxmlschemas.google.com/" r:id="rId6" roundtripDataChecksum="3r0pI6Z47W9SpKOyDPPzxw15d1DXY7jBB+jnFWLqTT4="/>
    </ext>
  </extLst>
</workbook>
</file>

<file path=xl/sharedStrings.xml><?xml version="1.0" encoding="utf-8"?>
<sst xmlns="http://schemas.openxmlformats.org/spreadsheetml/2006/main" count="1526" uniqueCount="127">
  <si>
    <t>id</t>
  </si>
  <si>
    <t>evaluator</t>
  </si>
  <si>
    <t>stratum</t>
  </si>
  <si>
    <t>label_A</t>
  </si>
  <si>
    <t>label_B</t>
  </si>
  <si>
    <t>agree</t>
  </si>
  <si>
    <t>ref</t>
  </si>
  <si>
    <t>boundary</t>
  </si>
  <si>
    <t>claude_reading</t>
  </si>
  <si>
    <t>label2_A</t>
  </si>
  <si>
    <t>label2_B</t>
  </si>
  <si>
    <t>changed_A</t>
  </si>
  <si>
    <t>changed_B</t>
  </si>
  <si>
    <t>confidence_A</t>
  </si>
  <si>
    <t>confidence_B</t>
  </si>
  <si>
    <t>time_A</t>
  </si>
  <si>
    <t>time_B</t>
  </si>
  <si>
    <t>notes_A_written</t>
  </si>
  <si>
    <t>notes_B_written</t>
  </si>
  <si>
    <t>Qwen_v1</t>
  </si>
  <si>
    <t>Gemma_v1</t>
  </si>
  <si>
    <t>MistralS_v1</t>
  </si>
  <si>
    <t>Ministral_v1</t>
  </si>
  <si>
    <t>T1_v1</t>
  </si>
  <si>
    <t>T2_v1</t>
  </si>
  <si>
    <t>old_v1</t>
  </si>
  <si>
    <t>Qwen_norw</t>
  </si>
  <si>
    <t>Gemma_norw</t>
  </si>
  <si>
    <t>MistralS_norw (24B)</t>
  </si>
  <si>
    <t>Ministral_norw (14B)</t>
  </si>
  <si>
    <t>T1_norw</t>
  </si>
  <si>
    <t>T2_norw</t>
  </si>
  <si>
    <t>E01</t>
  </si>
  <si>
    <t>cue:Ev</t>
  </si>
  <si>
    <t>Background</t>
  </si>
  <si>
    <t>Evidence</t>
  </si>
  <si>
    <t>Evidence vs Background / Application / Basis</t>
  </si>
  <si>
    <t>Media</t>
  </si>
  <si>
    <t>Alta</t>
  </si>
  <si>
    <t>yes</t>
  </si>
  <si>
    <t>Gap</t>
  </si>
  <si>
    <t>E02</t>
  </si>
  <si>
    <t>cue:Cmp</t>
  </si>
  <si>
    <t>Comparison</t>
  </si>
  <si>
    <t>&lt;1</t>
  </si>
  <si>
    <t>no</t>
  </si>
  <si>
    <t>E03</t>
  </si>
  <si>
    <t>cue:Further Reading (judges: Background)</t>
  </si>
  <si>
    <t>Further Reading</t>
  </si>
  <si>
    <t>E04</t>
  </si>
  <si>
    <t>cue:Gap</t>
  </si>
  <si>
    <t>E05</t>
  </si>
  <si>
    <t>random</t>
  </si>
  <si>
    <t>Application</t>
  </si>
  <si>
    <t>tie</t>
  </si>
  <si>
    <t>E06</t>
  </si>
  <si>
    <t>cue:Improvement/Modification (judges: Application)</t>
  </si>
  <si>
    <t>Improvement/Modification</t>
  </si>
  <si>
    <t>Improvement/Modification vs Application / Comparison</t>
  </si>
  <si>
    <t>E07</t>
  </si>
  <si>
    <t>Basis</t>
  </si>
  <si>
    <t>E08</t>
  </si>
  <si>
    <t>Further Reading vs Background / Evidence</t>
  </si>
  <si>
    <t>E09</t>
  </si>
  <si>
    <t>E10</t>
  </si>
  <si>
    <t>Baja</t>
  </si>
  <si>
    <t>&gt;5</t>
  </si>
  <si>
    <t>E11</t>
  </si>
  <si>
    <t>E12</t>
  </si>
  <si>
    <t>cue:FR</t>
  </si>
  <si>
    <t>E13</t>
  </si>
  <si>
    <t>cue:Orig</t>
  </si>
  <si>
    <t>Identification of the Originator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</si>
  <si>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</si>
  <si>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</si>
  <si>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</si>
  <si>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</si>
  <si>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</si>
  <si>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</si>
  <si>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</si>
  <si>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</si>
  <si>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</si>
  <si>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</si>
  <si>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</si>
  <si>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</si>
  <si>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</si>
  <si>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</si>
  <si>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</si>
  <si>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</si>
  <si>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</si>
  <si>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</si>
  <si>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&lt;5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</si>
  <si>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</si>
  <si>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</si>
  <si>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</si>
  <si>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</si>
  <si>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</si>
  <si>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</si>
  <si>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</si>
  <si>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</si>
  <si>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</si>
  <si>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</si>
  <si>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</si>
  <si>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Comparison vs Background / Evidence</t>
  </si>
  <si>
    <t>E43</t>
  </si>
  <si>
    <t>&lt;3</t>
  </si>
  <si>
    <t>E44</t>
  </si>
  <si>
    <t>E45</t>
  </si>
  <si>
    <t>E46</t>
  </si>
  <si>
    <t>E47</t>
  </si>
  <si>
    <t>&lt;4</t>
  </si>
  <si>
    <t>E48</t>
  </si>
  <si>
    <t>E49</t>
  </si>
  <si>
    <t>E50</t>
  </si>
  <si>
    <t>Gap vs Background / Evidence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</si>
  <si>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</si>
  <si>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</si>
  <si>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</si>
  <si>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</si>
  <si>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</si>
  <si>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</si>
  <si>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</si>
  <si>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</si>
  <si>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</si>
  <si>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</si>
  <si>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Count of evaluator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</si>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</sst>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rgb="FF0000FF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4213D"/>
        <bgColor rgb="FF14213D"/>
      </patternFill>
    </fill>
    <fill>
      <patternFill patternType="solid">
        <fgColor rgb="FFDBE5F1"/>
        <bgColor rgb="FFDBE5F1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4CCCC"/>
        <bgColor rgb="FFF4CCCC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0" fillId="2" fontId="1" numFmtId="0" xfId="0" applyFill="1" applyFont="1"/>
    <xf borderId="0" fillId="0" fontId="2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3" numFmtId="0" xfId="0" applyBorder="1" applyFill="1" applyFont="1"/>
    <xf borderId="0" fillId="0" fontId="3" numFmtId="0" xfId="0" applyFont="1"/>
    <xf borderId="0" fillId="4" fontId="2" numFmtId="0" xfId="0" applyFill="1" applyFont="1"/>
    <xf borderId="1" fillId="7" fontId="2" numFmtId="0" xfId="0" applyBorder="1" applyFill="1" applyFont="1"/>
    <xf borderId="1" fillId="8" fontId="2" numFmtId="0" xfId="0" applyBorder="1" applyFill="1" applyFont="1"/>
    <xf borderId="1" fillId="9" fontId="2" numFmtId="0" xfId="0" applyBorder="1" applyFill="1" applyFont="1"/>
    <xf borderId="0" fillId="10" fontId="2" numFmtId="0" xfId="0" applyFill="1" applyFont="1"/>
    <xf borderId="0" fillId="11" fontId="2" numFmtId="0" xfId="0" applyFill="1" applyFont="1"/>
    <xf borderId="1" fillId="11" fontId="2" numFmtId="0" xfId="0" applyBorder="1" applyFill="1" applyFont="1"/>
    <xf borderId="1" fillId="6" fontId="2" numFmtId="0" xfId="0" applyBorder="1" applyFill="1" applyFont="1"/>
    <xf borderId="1" fillId="12" fontId="2" numFmtId="0" xfId="0" applyBorder="1" applyFill="1" applyFont="1"/>
    <xf borderId="0" fillId="12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Evaluators' Disagreement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data!$E$68:$E$72</c:f>
            </c:strRef>
          </c:cat>
          <c:val>
            <c:numRef>
              <c:f>data!$F$68:$F$72</c:f>
              <c:numCache/>
            </c:numRef>
          </c:val>
        </c:ser>
        <c:axId val="1003920436"/>
        <c:axId val="646613483"/>
      </c:barChart>
      <c:catAx>
        <c:axId val="1003920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46613483"/>
      </c:catAx>
      <c:valAx>
        <c:axId val="646613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00392043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971550</xdr:colOff>
      <xdr:row>76</xdr:row>
      <xdr:rowOff>180975</xdr:rowOff>
    </xdr:from>
    <xdr:ext cx="3905250" cy="2886075"/>
    <xdr:graphicFrame>
      <xdr:nvGraphicFramePr>
        <xdr:cNvPr id="122260128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60" sheet="data"/>
  </cacheSource>
  <cacheFields>
    <cacheField name="id" numFmtId="0">
      <sharedItems>
        <s v="E01"/>
        <s v="E02"/>
        <s v="E03"/>
        <s v="E04"/>
        <s v="E05"/>
        <s v="E06"/>
        <s v="E07"/>
        <s v="E08"/>
        <s v="E09"/>
        <s v="E10"/>
        <s v="E11"/>
        <s v="E12"/>
        <s v="E13"/>
        <s v="E14"/>
        <s v="E15"/>
        <s v="E16"/>
        <s v="E17"/>
        <s v="E18"/>
        <s v="E19"/>
        <s v="E20"/>
        <s v="E21"/>
        <s v="E22"/>
        <s v="E23"/>
        <s v="E24"/>
        <s v="E25"/>
        <s v="E26"/>
        <s v="E27"/>
        <s v="E28"/>
        <s v="E29"/>
        <s v="E30"/>
        <s v="E31"/>
        <s v="E32"/>
        <s v="E33"/>
        <s v="E34"/>
        <s v="E35"/>
        <s v="E36"/>
        <s v="E37"/>
        <s v="E38"/>
        <s v="E39"/>
        <s v="E40"/>
        <s v="E41"/>
        <s v="E42"/>
        <s v="E43"/>
        <s v="E44"/>
        <s v="E45"/>
        <s v="E46"/>
        <s v="E47"/>
        <s v="E48"/>
        <s v="E49"/>
        <s v="E50"/>
        <s v="E51"/>
        <s v="E52"/>
        <s v="E53"/>
        <s v="E54"/>
        <s v="E55"/>
        <s v="E56"/>
        <s v="E57"/>
        <s v="E58"/>
        <s v="E59"/>
      </sharedItems>
    </cacheField>
    <cacheField name="evaluator" numFmtId="0">
      <sharedItems containsSemiMixedTypes="0" containsString="0" containsNumber="1" containsInteger="1">
        <n v="1.0"/>
        <n v="2.0"/>
        <n v="3.0"/>
        <n v="4.0"/>
      </sharedItems>
    </cacheField>
    <cacheField name="stratum" numFmtId="0">
      <sharedItems>
        <s v="cue:Ev"/>
        <s v="cue:Cmp"/>
        <s v="cue:Further Reading (judges: Background)"/>
        <s v="cue:Gap"/>
        <s v="random"/>
        <s v="cue:Improvement/Modification (judges: Application)"/>
        <s v="cue:FR"/>
        <s v="cue:Orig"/>
      </sharedItems>
    </cacheField>
    <cacheField name="label_A" numFmtId="0">
      <sharedItems>
        <s v="Background"/>
        <s v="Comparison"/>
        <s v="Further Reading"/>
        <s v="Gap"/>
        <s v="Application"/>
        <s v="Improvement/Modification"/>
        <s v="Identification of the Originator"/>
        <s v="Evidence"/>
        <s v="Basis"/>
      </sharedItems>
    </cacheField>
    <cacheField name="label_B" numFmtId="0">
      <sharedItems>
        <s v="Evidence"/>
        <s v="Comparison"/>
        <s v="Further Reading"/>
        <s v="Gap"/>
        <s v="Application"/>
        <s v="Background"/>
        <s v="Identification of the Originator"/>
        <s v="Improvement/Modification"/>
        <s v="Basis"/>
      </sharedItems>
    </cacheField>
    <cacheField name="agree" numFmtId="0">
      <sharedItems>
        <b v="0"/>
        <b v="1"/>
      </sharedItems>
    </cacheField>
    <cacheField name="ref" numFmtId="0">
      <sharedItems>
        <s v="HARD"/>
        <s v="Comparison"/>
        <s v="Further Reading"/>
        <s v="Gap"/>
        <s v="Background"/>
        <s v="Identification of the Originator"/>
        <s v="Evidence"/>
        <s v="Improvement/Modification"/>
        <s v="Application"/>
        <s v="Basis"/>
      </sharedItems>
    </cacheField>
    <cacheField name="boundary" numFmtId="0">
      <sharedItems containsBlank="1">
        <s v="Evidence vs Background / Application / Basis"/>
        <m/>
        <s v="Improvement/Modification vs Application / Comparison"/>
        <s v="Further Reading vs Background / Evidence"/>
        <s v="Comparison vs Background / Evidence"/>
        <s v="Gap vs Background / Evidence"/>
      </sharedItems>
    </cacheField>
    <cacheField name="claude_reading" numFmtId="0">
      <sharedItems>
        <s v="Evidence"/>
        <s v="Comparison"/>
        <s v="Further Reading"/>
        <s v="Gap"/>
        <s v="Application"/>
        <s v="Background"/>
        <s v="Identification of the Originator"/>
        <s v="Improvement/Modification"/>
      </sharedItems>
    </cacheField>
    <cacheField name="label2_A" numFmtId="0">
      <sharedItems>
        <s v="Background"/>
        <s v="Comparison"/>
        <s v="Further Reading"/>
        <s v="Gap"/>
        <s v="Application"/>
        <s v="Improvement/Modification"/>
        <s v="Identification of the Originator"/>
        <s v="Evidence"/>
      </sharedItems>
    </cacheField>
    <cacheField name="label2_B" numFmtId="0">
      <sharedItems>
        <s v="Evidence"/>
        <s v="Comparison"/>
        <s v="Further Reading"/>
        <s v="Gap"/>
        <s v="Application"/>
        <s v="Background"/>
        <s v="Identification of the Originator"/>
        <s v="Improvement/Modification"/>
        <s v="Basis"/>
      </sharedItems>
    </cacheField>
    <cacheField name="changed_A" numFmtId="0">
      <sharedItems>
        <b v="0"/>
        <b v="1"/>
      </sharedItems>
    </cacheField>
    <cacheField name="changed_B" numFmtId="0">
      <sharedItems>
        <b v="0"/>
        <b v="1"/>
      </sharedItems>
    </cacheField>
    <cacheField name="confidence_A" numFmtId="0">
      <sharedItems>
        <s v="Media"/>
        <s v="Alta"/>
        <s v="Baja"/>
      </sharedItems>
    </cacheField>
    <cacheField name="confidence_B" numFmtId="0">
      <sharedItems>
        <s v="Alta"/>
        <s v="Media"/>
        <s v="Baj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" cacheId="0" dataCaption="" compact="0" compactData="0">
  <location ref="E67:F72" firstHeaderRow="0" firstDataRow="1" firstDataCol="0" rowPageCount="1" colPageCount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evaluator" axis="axisRow" dataField="1" compact="0" outline="0" multipleItemSelectionAllowed="1" showAll="0">
      <items>
        <item sd="0" x="0"/>
        <item sd="0" x="1"/>
        <item sd="0" x="2"/>
        <item sd="0" x="3"/>
        <item t="default"/>
      </items>
    </pivotField>
    <pivotField name="stratum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bel_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label_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gree" axis="axisPage" compact="0" outline="0" multipleItemSelectionAllowed="1" showAll="0">
      <items>
        <item x="0"/>
        <item h="1" x="1"/>
        <item t="default"/>
      </items>
    </pivotField>
    <pivotField name="re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ounda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laude_rea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bel2_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abel2_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hanged_A" compact="0" outline="0" multipleItemSelectionAllowed="1" showAll="0">
      <items>
        <item x="0"/>
        <item x="1"/>
        <item t="default"/>
      </items>
    </pivotField>
    <pivotField name="changed_B" compact="0" outline="0" multipleItemSelectionAllowed="1" showAll="0">
      <items>
        <item x="0"/>
        <item x="1"/>
        <item t="default"/>
      </items>
    </pivotField>
    <pivotField name="confidence_A" compact="0" outline="0" multipleItemSelectionAllowed="1" showAll="0">
      <items>
        <item x="0"/>
        <item x="1"/>
        <item x="2"/>
        <item t="default"/>
      </items>
    </pivotField>
    <pivotField name="confidence_B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pageFields>
    <pageField fld="5"/>
  </pageFields>
  <dataFields>
    <dataField name="Count of evaluator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43"/>
    <col customWidth="1" min="2" max="2" width="9.0"/>
    <col customWidth="1" min="3" max="3" width="17.29"/>
    <col customWidth="1" min="4" max="4" width="14.43"/>
    <col customWidth="1" min="5" max="5" width="18.0"/>
    <col customWidth="1" min="6" max="6" width="15.29"/>
    <col customWidth="1" min="7" max="7" width="16.71"/>
    <col customWidth="1" min="8" max="8" width="36.0"/>
    <col customWidth="1" min="9" max="9" width="18.0"/>
    <col customWidth="1" min="10" max="11" width="12.0"/>
    <col customWidth="1" min="12" max="13" width="13.0"/>
    <col customWidth="1" min="14" max="15" width="16.0"/>
    <col customWidth="1" min="16" max="17" width="10.0"/>
    <col customWidth="1" min="18" max="19" width="19.0"/>
    <col customWidth="1" min="20" max="20" width="11.0"/>
    <col customWidth="1" min="21" max="21" width="12.0"/>
    <col customWidth="1" min="22" max="22" width="15.0"/>
    <col customWidth="1" min="23" max="23" width="16.0"/>
    <col customWidth="1" min="24" max="25" width="9.0"/>
    <col customWidth="1" min="26" max="26" width="10.0"/>
    <col customWidth="1" min="27" max="27" width="13.0"/>
    <col customWidth="1" min="28" max="28" width="14.0"/>
    <col customWidth="1" min="29" max="29" width="26.71"/>
    <col customWidth="1" min="30" max="30" width="23.57"/>
    <col customWidth="1" min="31" max="3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3"/>
      <c r="AH1" s="3"/>
      <c r="AI1" s="3"/>
    </row>
    <row r="2">
      <c r="A2" s="4" t="s">
        <v>32</v>
      </c>
      <c r="B2" s="5">
        <v>1.0</v>
      </c>
      <c r="C2" s="6" t="s">
        <v>33</v>
      </c>
      <c r="D2" s="4" t="s">
        <v>34</v>
      </c>
      <c r="E2" s="7" t="s">
        <v>35</v>
      </c>
      <c r="F2" s="8" t="b">
        <f t="shared" ref="F2:F61" si="2">D2=E2</f>
        <v>0</v>
      </c>
      <c r="G2" s="8" t="str">
        <f t="shared" ref="G2:G61" si="3">IF(F2,D2,"HARD")</f>
        <v>HARD</v>
      </c>
      <c r="H2" s="4" t="s">
        <v>36</v>
      </c>
      <c r="I2" s="7" t="s">
        <v>35</v>
      </c>
      <c r="J2" s="4" t="s">
        <v>34</v>
      </c>
      <c r="K2" s="4" t="s">
        <v>35</v>
      </c>
      <c r="L2" s="9" t="b">
        <f t="shared" ref="L2:M2" si="1">J2&lt;&gt;D2</f>
        <v>0</v>
      </c>
      <c r="M2" s="9" t="b">
        <f t="shared" si="1"/>
        <v>0</v>
      </c>
      <c r="N2" s="4" t="s">
        <v>37</v>
      </c>
      <c r="O2" s="4" t="s">
        <v>38</v>
      </c>
      <c r="P2" s="4">
        <v>5.0</v>
      </c>
      <c r="Q2" s="4">
        <v>8.5</v>
      </c>
      <c r="R2" s="4" t="s">
        <v>39</v>
      </c>
      <c r="S2" s="4" t="s">
        <v>39</v>
      </c>
      <c r="T2" s="6" t="s">
        <v>35</v>
      </c>
      <c r="U2" s="6" t="s">
        <v>35</v>
      </c>
      <c r="V2" s="6" t="s">
        <v>35</v>
      </c>
      <c r="W2" s="6" t="s">
        <v>35</v>
      </c>
      <c r="X2" s="6" t="s">
        <v>35</v>
      </c>
      <c r="Y2" s="6" t="s">
        <v>35</v>
      </c>
      <c r="Z2" s="6" t="s">
        <v>35</v>
      </c>
      <c r="AA2" s="6" t="s">
        <v>35</v>
      </c>
      <c r="AB2" s="6" t="s">
        <v>35</v>
      </c>
      <c r="AC2" s="6" t="s">
        <v>35</v>
      </c>
      <c r="AD2" s="4" t="s">
        <v>40</v>
      </c>
      <c r="AE2" s="6" t="s">
        <v>35</v>
      </c>
      <c r="AF2" s="6" t="s">
        <v>35</v>
      </c>
      <c r="AG2" s="10"/>
      <c r="AH2" s="10"/>
      <c r="AI2" s="10"/>
    </row>
    <row r="3" hidden="1">
      <c r="A3" s="4" t="s">
        <v>41</v>
      </c>
      <c r="B3" s="11">
        <v>2.0</v>
      </c>
      <c r="C3" s="4" t="s">
        <v>42</v>
      </c>
      <c r="D3" s="4" t="s">
        <v>43</v>
      </c>
      <c r="E3" s="4" t="s">
        <v>43</v>
      </c>
      <c r="F3" s="9" t="b">
        <f t="shared" si="2"/>
        <v>1</v>
      </c>
      <c r="G3" s="9" t="str">
        <f t="shared" si="3"/>
        <v>Comparison</v>
      </c>
      <c r="H3" s="4"/>
      <c r="I3" s="4" t="s">
        <v>43</v>
      </c>
      <c r="J3" s="4" t="s">
        <v>43</v>
      </c>
      <c r="K3" s="4" t="s">
        <v>43</v>
      </c>
      <c r="L3" s="9" t="b">
        <f t="shared" ref="L3:M3" si="4">J3&lt;&gt;D3</f>
        <v>0</v>
      </c>
      <c r="M3" s="9" t="b">
        <f t="shared" si="4"/>
        <v>0</v>
      </c>
      <c r="N3" s="4" t="s">
        <v>38</v>
      </c>
      <c r="O3" s="4" t="s">
        <v>38</v>
      </c>
      <c r="P3" s="4" t="s">
        <v>44</v>
      </c>
      <c r="Q3" s="4">
        <v>4.0</v>
      </c>
      <c r="R3" s="4" t="s">
        <v>39</v>
      </c>
      <c r="S3" s="4" t="s">
        <v>45</v>
      </c>
      <c r="T3" s="4" t="s">
        <v>43</v>
      </c>
      <c r="U3" s="4" t="s">
        <v>43</v>
      </c>
      <c r="V3" s="4" t="s">
        <v>43</v>
      </c>
      <c r="W3" s="4" t="s">
        <v>43</v>
      </c>
      <c r="X3" s="4" t="s">
        <v>43</v>
      </c>
      <c r="Y3" s="4" t="s">
        <v>43</v>
      </c>
      <c r="Z3" s="4" t="s">
        <v>43</v>
      </c>
      <c r="AA3" s="4" t="s">
        <v>43</v>
      </c>
      <c r="AB3" s="4" t="s">
        <v>43</v>
      </c>
      <c r="AC3" s="4" t="s">
        <v>43</v>
      </c>
      <c r="AD3" s="4" t="s">
        <v>43</v>
      </c>
      <c r="AE3" s="4" t="s">
        <v>43</v>
      </c>
      <c r="AF3" s="4" t="s">
        <v>43</v>
      </c>
      <c r="AG3" s="4"/>
      <c r="AH3" s="4"/>
      <c r="AI3" s="4"/>
    </row>
    <row r="4" hidden="1">
      <c r="A4" s="4" t="s">
        <v>46</v>
      </c>
      <c r="B4" s="12">
        <v>3.0</v>
      </c>
      <c r="C4" s="4" t="s">
        <v>47</v>
      </c>
      <c r="D4" s="4" t="s">
        <v>48</v>
      </c>
      <c r="E4" s="4" t="s">
        <v>48</v>
      </c>
      <c r="F4" s="9" t="b">
        <f t="shared" si="2"/>
        <v>1</v>
      </c>
      <c r="G4" s="9" t="str">
        <f t="shared" si="3"/>
        <v>Further Reading</v>
      </c>
      <c r="H4" s="4"/>
      <c r="I4" s="4" t="s">
        <v>48</v>
      </c>
      <c r="J4" s="4" t="s">
        <v>48</v>
      </c>
      <c r="K4" s="4" t="s">
        <v>48</v>
      </c>
      <c r="L4" s="9" t="b">
        <f t="shared" ref="L4:M4" si="5">J4&lt;&gt;D4</f>
        <v>0</v>
      </c>
      <c r="M4" s="9" t="b">
        <f t="shared" si="5"/>
        <v>0</v>
      </c>
      <c r="N4" s="4" t="s">
        <v>38</v>
      </c>
      <c r="O4" s="4" t="s">
        <v>38</v>
      </c>
      <c r="P4" s="4" t="s">
        <v>44</v>
      </c>
      <c r="Q4" s="4">
        <v>5.0</v>
      </c>
      <c r="R4" s="4" t="s">
        <v>39</v>
      </c>
      <c r="S4" s="4" t="s">
        <v>39</v>
      </c>
      <c r="T4" s="4" t="s">
        <v>48</v>
      </c>
      <c r="U4" s="4" t="s">
        <v>48</v>
      </c>
      <c r="V4" s="4" t="s">
        <v>34</v>
      </c>
      <c r="W4" s="4" t="s">
        <v>34</v>
      </c>
      <c r="X4" s="4" t="s">
        <v>48</v>
      </c>
      <c r="Y4" s="4" t="s">
        <v>48</v>
      </c>
      <c r="Z4" s="4" t="s">
        <v>34</v>
      </c>
      <c r="AA4" s="4" t="s">
        <v>48</v>
      </c>
      <c r="AB4" s="4" t="s">
        <v>48</v>
      </c>
      <c r="AC4" s="4" t="s">
        <v>34</v>
      </c>
      <c r="AD4" s="4" t="s">
        <v>34</v>
      </c>
      <c r="AE4" s="4" t="s">
        <v>48</v>
      </c>
      <c r="AF4" s="4" t="s">
        <v>48</v>
      </c>
      <c r="AG4" s="4"/>
      <c r="AH4" s="4"/>
      <c r="AI4" s="4"/>
    </row>
    <row r="5" hidden="1">
      <c r="A5" s="4" t="s">
        <v>49</v>
      </c>
      <c r="B5" s="13">
        <v>4.0</v>
      </c>
      <c r="C5" s="4" t="s">
        <v>50</v>
      </c>
      <c r="D5" s="4" t="s">
        <v>40</v>
      </c>
      <c r="E5" s="4" t="s">
        <v>40</v>
      </c>
      <c r="F5" s="9" t="b">
        <f t="shared" si="2"/>
        <v>1</v>
      </c>
      <c r="G5" s="9" t="str">
        <f t="shared" si="3"/>
        <v>Gap</v>
      </c>
      <c r="H5" s="4"/>
      <c r="I5" s="4" t="s">
        <v>40</v>
      </c>
      <c r="J5" s="4" t="s">
        <v>40</v>
      </c>
      <c r="K5" s="4" t="s">
        <v>40</v>
      </c>
      <c r="L5" s="9" t="b">
        <f t="shared" ref="L5:M5" si="6">J5&lt;&gt;D5</f>
        <v>0</v>
      </c>
      <c r="M5" s="9" t="b">
        <f t="shared" si="6"/>
        <v>0</v>
      </c>
      <c r="N5" s="4" t="s">
        <v>38</v>
      </c>
      <c r="O5" s="4" t="s">
        <v>38</v>
      </c>
      <c r="P5" s="4">
        <v>10.0</v>
      </c>
      <c r="Q5" s="4">
        <v>8.0</v>
      </c>
      <c r="R5" s="4" t="s">
        <v>39</v>
      </c>
      <c r="S5" s="4" t="s">
        <v>45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 s="4"/>
      <c r="AH5" s="4"/>
      <c r="AI5" s="4"/>
    </row>
    <row r="6">
      <c r="A6" s="4" t="s">
        <v>51</v>
      </c>
      <c r="B6" s="5">
        <v>1.0</v>
      </c>
      <c r="C6" s="4" t="s">
        <v>52</v>
      </c>
      <c r="D6" s="4" t="s">
        <v>53</v>
      </c>
      <c r="E6" s="7" t="s">
        <v>35</v>
      </c>
      <c r="F6" s="8" t="b">
        <f t="shared" si="2"/>
        <v>0</v>
      </c>
      <c r="G6" s="8" t="str">
        <f t="shared" si="3"/>
        <v>HARD</v>
      </c>
      <c r="H6" s="4" t="s">
        <v>36</v>
      </c>
      <c r="I6" s="7" t="s">
        <v>35</v>
      </c>
      <c r="J6" s="4" t="s">
        <v>53</v>
      </c>
      <c r="K6" s="4" t="s">
        <v>35</v>
      </c>
      <c r="L6" s="9" t="b">
        <f t="shared" ref="L6:M6" si="7">J6&lt;&gt;D6</f>
        <v>0</v>
      </c>
      <c r="M6" s="9" t="b">
        <f t="shared" si="7"/>
        <v>0</v>
      </c>
      <c r="N6" s="4" t="s">
        <v>38</v>
      </c>
      <c r="O6" s="4" t="s">
        <v>37</v>
      </c>
      <c r="P6" s="4">
        <v>2.0</v>
      </c>
      <c r="Q6" s="4">
        <v>6.0</v>
      </c>
      <c r="R6" s="4" t="s">
        <v>39</v>
      </c>
      <c r="S6" s="4" t="s">
        <v>39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54</v>
      </c>
      <c r="AA6" s="4" t="s">
        <v>34</v>
      </c>
      <c r="AB6" s="4" t="s">
        <v>34</v>
      </c>
      <c r="AC6" s="4" t="s">
        <v>34</v>
      </c>
      <c r="AD6" s="4" t="s">
        <v>34</v>
      </c>
      <c r="AE6" s="14" t="s">
        <v>34</v>
      </c>
      <c r="AF6" s="14" t="s">
        <v>34</v>
      </c>
      <c r="AG6" s="14"/>
      <c r="AH6" s="14"/>
      <c r="AI6" s="14"/>
    </row>
    <row r="7">
      <c r="A7" s="4" t="s">
        <v>55</v>
      </c>
      <c r="B7" s="11">
        <v>2.0</v>
      </c>
      <c r="C7" s="6" t="s">
        <v>56</v>
      </c>
      <c r="D7" s="6" t="s">
        <v>57</v>
      </c>
      <c r="E7" s="7" t="s">
        <v>53</v>
      </c>
      <c r="F7" s="8" t="b">
        <f t="shared" si="2"/>
        <v>0</v>
      </c>
      <c r="G7" s="8" t="str">
        <f t="shared" si="3"/>
        <v>HARD</v>
      </c>
      <c r="H7" s="4" t="s">
        <v>58</v>
      </c>
      <c r="I7" s="7" t="s">
        <v>53</v>
      </c>
      <c r="J7" s="6" t="s">
        <v>57</v>
      </c>
      <c r="K7" s="4" t="s">
        <v>53</v>
      </c>
      <c r="L7" s="9" t="b">
        <f t="shared" ref="L7:M7" si="8">J7&lt;&gt;D7</f>
        <v>0</v>
      </c>
      <c r="M7" s="9" t="b">
        <f t="shared" si="8"/>
        <v>0</v>
      </c>
      <c r="N7" s="4" t="s">
        <v>38</v>
      </c>
      <c r="O7" s="4" t="s">
        <v>37</v>
      </c>
      <c r="P7" s="4" t="s">
        <v>44</v>
      </c>
      <c r="Q7" s="4">
        <v>6.0</v>
      </c>
      <c r="R7" s="4" t="s">
        <v>39</v>
      </c>
      <c r="S7" s="4" t="s">
        <v>45</v>
      </c>
      <c r="T7" s="6" t="s">
        <v>57</v>
      </c>
      <c r="U7" s="6" t="s">
        <v>57</v>
      </c>
      <c r="V7" s="4" t="s">
        <v>53</v>
      </c>
      <c r="W7" s="4" t="s">
        <v>53</v>
      </c>
      <c r="X7" s="6" t="s">
        <v>57</v>
      </c>
      <c r="Y7" s="6" t="s">
        <v>57</v>
      </c>
      <c r="Z7" s="4" t="s">
        <v>53</v>
      </c>
      <c r="AA7" s="6" t="s">
        <v>57</v>
      </c>
      <c r="AB7" s="6" t="s">
        <v>57</v>
      </c>
      <c r="AC7" s="4" t="s">
        <v>53</v>
      </c>
      <c r="AD7" s="4" t="s">
        <v>53</v>
      </c>
      <c r="AE7" s="6" t="s">
        <v>57</v>
      </c>
      <c r="AF7" s="6" t="s">
        <v>57</v>
      </c>
      <c r="AG7" s="15"/>
      <c r="AH7" s="15"/>
      <c r="AI7" s="15"/>
    </row>
    <row r="8" hidden="1">
      <c r="A8" s="4" t="s">
        <v>59</v>
      </c>
      <c r="B8" s="12">
        <v>3.0</v>
      </c>
      <c r="C8" s="4" t="s">
        <v>52</v>
      </c>
      <c r="D8" s="4" t="s">
        <v>48</v>
      </c>
      <c r="E8" s="4" t="s">
        <v>48</v>
      </c>
      <c r="F8" s="9" t="b">
        <f t="shared" si="2"/>
        <v>1</v>
      </c>
      <c r="G8" s="9" t="str">
        <f t="shared" si="3"/>
        <v>Further Reading</v>
      </c>
      <c r="H8" s="4"/>
      <c r="I8" s="4" t="s">
        <v>48</v>
      </c>
      <c r="J8" s="4" t="s">
        <v>57</v>
      </c>
      <c r="K8" s="4" t="s">
        <v>34</v>
      </c>
      <c r="L8" s="9" t="b">
        <f t="shared" ref="L8:M8" si="9">J8&lt;&gt;D8</f>
        <v>1</v>
      </c>
      <c r="M8" s="9" t="b">
        <f t="shared" si="9"/>
        <v>1</v>
      </c>
      <c r="N8" s="4" t="s">
        <v>38</v>
      </c>
      <c r="O8" s="4" t="s">
        <v>38</v>
      </c>
      <c r="P8" s="4" t="s">
        <v>44</v>
      </c>
      <c r="Q8" s="4">
        <v>5.0</v>
      </c>
      <c r="R8" s="4" t="s">
        <v>39</v>
      </c>
      <c r="S8" s="4" t="s">
        <v>39</v>
      </c>
      <c r="T8" s="4" t="s">
        <v>48</v>
      </c>
      <c r="U8" s="4" t="s">
        <v>60</v>
      </c>
      <c r="V8" s="4" t="s">
        <v>60</v>
      </c>
      <c r="W8" s="4" t="s">
        <v>60</v>
      </c>
      <c r="X8" s="4" t="s">
        <v>60</v>
      </c>
      <c r="Y8" s="4" t="s">
        <v>60</v>
      </c>
      <c r="Z8" s="4" t="s">
        <v>60</v>
      </c>
      <c r="AA8" s="4" t="s">
        <v>48</v>
      </c>
      <c r="AB8" s="4" t="s">
        <v>60</v>
      </c>
      <c r="AC8" s="4" t="s">
        <v>60</v>
      </c>
      <c r="AD8" s="4" t="s">
        <v>60</v>
      </c>
      <c r="AE8" s="4" t="s">
        <v>60</v>
      </c>
      <c r="AF8" s="4" t="s">
        <v>60</v>
      </c>
      <c r="AG8" s="4"/>
      <c r="AH8" s="4"/>
      <c r="AI8" s="4"/>
    </row>
    <row r="9">
      <c r="A9" s="4" t="s">
        <v>61</v>
      </c>
      <c r="B9" s="13">
        <v>4.0</v>
      </c>
      <c r="C9" s="6" t="s">
        <v>47</v>
      </c>
      <c r="D9" s="4" t="s">
        <v>34</v>
      </c>
      <c r="E9" s="6" t="s">
        <v>48</v>
      </c>
      <c r="F9" s="8" t="b">
        <f t="shared" si="2"/>
        <v>0</v>
      </c>
      <c r="G9" s="8" t="str">
        <f t="shared" si="3"/>
        <v>HARD</v>
      </c>
      <c r="H9" s="4" t="s">
        <v>62</v>
      </c>
      <c r="I9" s="6" t="s">
        <v>48</v>
      </c>
      <c r="J9" s="4" t="s">
        <v>34</v>
      </c>
      <c r="K9" s="4" t="s">
        <v>48</v>
      </c>
      <c r="L9" s="9" t="b">
        <f t="shared" ref="L9:M9" si="10">J9&lt;&gt;D9</f>
        <v>0</v>
      </c>
      <c r="M9" s="9" t="b">
        <f t="shared" si="10"/>
        <v>0</v>
      </c>
      <c r="N9" s="4" t="s">
        <v>37</v>
      </c>
      <c r="O9" s="4" t="s">
        <v>38</v>
      </c>
      <c r="P9" s="4">
        <v>7.0</v>
      </c>
      <c r="Q9" s="4">
        <v>3.0</v>
      </c>
      <c r="R9" s="4" t="s">
        <v>39</v>
      </c>
      <c r="S9" s="4" t="s">
        <v>45</v>
      </c>
      <c r="T9" s="6" t="s">
        <v>48</v>
      </c>
      <c r="U9" s="6" t="s">
        <v>48</v>
      </c>
      <c r="V9" s="6" t="s">
        <v>48</v>
      </c>
      <c r="W9" s="6" t="s">
        <v>48</v>
      </c>
      <c r="X9" s="6" t="s">
        <v>48</v>
      </c>
      <c r="Y9" s="6" t="s">
        <v>48</v>
      </c>
      <c r="Z9" s="4" t="s">
        <v>34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10"/>
      <c r="AH9" s="10"/>
      <c r="AI9" s="10"/>
    </row>
    <row r="10" hidden="1">
      <c r="A10" s="4" t="s">
        <v>63</v>
      </c>
      <c r="B10" s="5">
        <v>1.0</v>
      </c>
      <c r="C10" s="4" t="s">
        <v>52</v>
      </c>
      <c r="D10" s="4" t="s">
        <v>34</v>
      </c>
      <c r="E10" s="4" t="s">
        <v>34</v>
      </c>
      <c r="F10" s="9" t="b">
        <f t="shared" si="2"/>
        <v>1</v>
      </c>
      <c r="G10" s="9" t="str">
        <f t="shared" si="3"/>
        <v>Background</v>
      </c>
      <c r="H10" s="4"/>
      <c r="I10" s="4" t="s">
        <v>34</v>
      </c>
      <c r="J10" s="4" t="s">
        <v>34</v>
      </c>
      <c r="K10" s="4" t="s">
        <v>34</v>
      </c>
      <c r="L10" s="9" t="b">
        <f t="shared" ref="L10:M10" si="11">J10&lt;&gt;D10</f>
        <v>0</v>
      </c>
      <c r="M10" s="9" t="b">
        <f t="shared" si="11"/>
        <v>0</v>
      </c>
      <c r="N10" s="4" t="s">
        <v>38</v>
      </c>
      <c r="O10" s="4" t="s">
        <v>38</v>
      </c>
      <c r="P10" s="4">
        <v>2.0</v>
      </c>
      <c r="Q10" s="4">
        <v>6.0</v>
      </c>
      <c r="R10" s="4" t="s">
        <v>39</v>
      </c>
      <c r="S10" s="4" t="s">
        <v>39</v>
      </c>
      <c r="T10" s="4" t="s">
        <v>34</v>
      </c>
      <c r="U10" s="4" t="s">
        <v>34</v>
      </c>
      <c r="V10" s="4" t="s">
        <v>57</v>
      </c>
      <c r="W10" s="4" t="s">
        <v>43</v>
      </c>
      <c r="X10" s="4" t="s">
        <v>34</v>
      </c>
      <c r="Y10" s="4" t="s">
        <v>34</v>
      </c>
      <c r="Z10" s="4" t="s">
        <v>60</v>
      </c>
      <c r="AA10" s="4" t="s">
        <v>34</v>
      </c>
      <c r="AB10" s="4" t="s">
        <v>34</v>
      </c>
      <c r="AC10" s="4" t="s">
        <v>57</v>
      </c>
      <c r="AD10" s="4" t="s">
        <v>40</v>
      </c>
      <c r="AE10" s="4" t="s">
        <v>34</v>
      </c>
      <c r="AF10" s="4" t="s">
        <v>34</v>
      </c>
      <c r="AG10" s="4"/>
      <c r="AH10" s="4"/>
      <c r="AI10" s="4"/>
    </row>
    <row r="11">
      <c r="A11" s="4" t="s">
        <v>64</v>
      </c>
      <c r="B11" s="11">
        <v>2.0</v>
      </c>
      <c r="C11" s="6" t="s">
        <v>33</v>
      </c>
      <c r="D11" s="4" t="s">
        <v>53</v>
      </c>
      <c r="E11" s="6" t="s">
        <v>35</v>
      </c>
      <c r="F11" s="8" t="b">
        <f t="shared" si="2"/>
        <v>0</v>
      </c>
      <c r="G11" s="8" t="str">
        <f t="shared" si="3"/>
        <v>HARD</v>
      </c>
      <c r="H11" s="4" t="s">
        <v>36</v>
      </c>
      <c r="I11" s="6" t="s">
        <v>35</v>
      </c>
      <c r="J11" s="4" t="s">
        <v>53</v>
      </c>
      <c r="K11" s="4" t="s">
        <v>35</v>
      </c>
      <c r="L11" s="9" t="b">
        <f t="shared" ref="L11:M11" si="12">J11&lt;&gt;D11</f>
        <v>0</v>
      </c>
      <c r="M11" s="9" t="b">
        <f t="shared" si="12"/>
        <v>0</v>
      </c>
      <c r="N11" s="4" t="s">
        <v>65</v>
      </c>
      <c r="O11" s="4" t="s">
        <v>37</v>
      </c>
      <c r="P11" s="4" t="s">
        <v>66</v>
      </c>
      <c r="Q11" s="4">
        <v>6.0</v>
      </c>
      <c r="R11" s="4" t="s">
        <v>39</v>
      </c>
      <c r="S11" s="4" t="s">
        <v>45</v>
      </c>
      <c r="T11" s="6" t="s">
        <v>35</v>
      </c>
      <c r="U11" s="4" t="s">
        <v>34</v>
      </c>
      <c r="V11" s="4" t="s">
        <v>60</v>
      </c>
      <c r="W11" s="4" t="s">
        <v>60</v>
      </c>
      <c r="X11" s="4" t="s">
        <v>54</v>
      </c>
      <c r="Y11" s="4" t="s">
        <v>54</v>
      </c>
      <c r="Z11" s="4" t="s">
        <v>60</v>
      </c>
      <c r="AA11" s="6" t="s">
        <v>35</v>
      </c>
      <c r="AB11" s="4" t="s">
        <v>34</v>
      </c>
      <c r="AC11" s="4" t="s">
        <v>60</v>
      </c>
      <c r="AD11" s="4" t="s">
        <v>60</v>
      </c>
      <c r="AE11" s="4" t="s">
        <v>54</v>
      </c>
      <c r="AF11" s="4" t="s">
        <v>54</v>
      </c>
      <c r="AG11" s="4"/>
      <c r="AH11" s="4"/>
      <c r="AI11" s="4"/>
    </row>
    <row r="12" hidden="1">
      <c r="A12" s="4" t="s">
        <v>67</v>
      </c>
      <c r="B12" s="12">
        <v>3.0</v>
      </c>
      <c r="C12" s="4" t="s">
        <v>52</v>
      </c>
      <c r="D12" s="4" t="s">
        <v>34</v>
      </c>
      <c r="E12" s="4" t="s">
        <v>34</v>
      </c>
      <c r="F12" s="9" t="b">
        <f t="shared" si="2"/>
        <v>1</v>
      </c>
      <c r="G12" s="9" t="str">
        <f t="shared" si="3"/>
        <v>Background</v>
      </c>
      <c r="H12" s="4"/>
      <c r="I12" s="4" t="s">
        <v>34</v>
      </c>
      <c r="J12" s="4" t="s">
        <v>34</v>
      </c>
      <c r="K12" s="4" t="s">
        <v>34</v>
      </c>
      <c r="L12" s="9" t="b">
        <f t="shared" ref="L12:M12" si="13">J12&lt;&gt;D12</f>
        <v>0</v>
      </c>
      <c r="M12" s="9" t="b">
        <f t="shared" si="13"/>
        <v>0</v>
      </c>
      <c r="N12" s="4" t="s">
        <v>38</v>
      </c>
      <c r="O12" s="4" t="s">
        <v>37</v>
      </c>
      <c r="P12" s="4" t="s">
        <v>44</v>
      </c>
      <c r="Q12" s="4">
        <v>5.0</v>
      </c>
      <c r="R12" s="4" t="s">
        <v>39</v>
      </c>
      <c r="S12" s="4" t="s">
        <v>39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53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 s="4"/>
      <c r="AH12" s="4"/>
      <c r="AI12" s="4"/>
    </row>
    <row r="13">
      <c r="A13" s="4" t="s">
        <v>68</v>
      </c>
      <c r="B13" s="13">
        <v>4.0</v>
      </c>
      <c r="C13" s="6" t="s">
        <v>69</v>
      </c>
      <c r="D13" s="16" t="s">
        <v>34</v>
      </c>
      <c r="E13" s="7" t="s">
        <v>48</v>
      </c>
      <c r="F13" s="8" t="b">
        <f t="shared" si="2"/>
        <v>0</v>
      </c>
      <c r="G13" s="8" t="str">
        <f t="shared" si="3"/>
        <v>HARD</v>
      </c>
      <c r="H13" s="4" t="s">
        <v>62</v>
      </c>
      <c r="I13" s="7" t="s">
        <v>48</v>
      </c>
      <c r="J13" s="4" t="s">
        <v>34</v>
      </c>
      <c r="K13" s="4" t="s">
        <v>48</v>
      </c>
      <c r="L13" s="9" t="b">
        <f t="shared" ref="L13:M13" si="14">J13&lt;&gt;D13</f>
        <v>0</v>
      </c>
      <c r="M13" s="9" t="b">
        <f t="shared" si="14"/>
        <v>0</v>
      </c>
      <c r="N13" s="4" t="s">
        <v>37</v>
      </c>
      <c r="O13" s="4" t="s">
        <v>37</v>
      </c>
      <c r="P13" s="4"/>
      <c r="Q13" s="4">
        <v>3.0</v>
      </c>
      <c r="R13" s="4" t="s">
        <v>39</v>
      </c>
      <c r="S13" s="4" t="s">
        <v>45</v>
      </c>
      <c r="T13" s="7" t="s">
        <v>48</v>
      </c>
      <c r="U13" s="16" t="s">
        <v>34</v>
      </c>
      <c r="V13" s="16" t="s">
        <v>34</v>
      </c>
      <c r="W13" s="4" t="s">
        <v>43</v>
      </c>
      <c r="X13" s="16" t="s">
        <v>34</v>
      </c>
      <c r="Y13" s="4" t="s">
        <v>54</v>
      </c>
      <c r="Z13" s="4" t="s">
        <v>35</v>
      </c>
      <c r="AA13" s="16" t="s">
        <v>34</v>
      </c>
      <c r="AB13" s="16" t="s">
        <v>34</v>
      </c>
      <c r="AC13" s="16" t="s">
        <v>34</v>
      </c>
      <c r="AD13" s="4" t="s">
        <v>43</v>
      </c>
      <c r="AE13" s="16" t="s">
        <v>34</v>
      </c>
      <c r="AF13" s="16" t="s">
        <v>34</v>
      </c>
      <c r="AG13" s="15"/>
      <c r="AH13" s="15"/>
      <c r="AI13" s="15"/>
    </row>
    <row r="14" hidden="1">
      <c r="A14" s="4" t="s">
        <v>70</v>
      </c>
      <c r="B14" s="5">
        <v>1.0</v>
      </c>
      <c r="C14" s="4" t="s">
        <v>71</v>
      </c>
      <c r="D14" s="4" t="s">
        <v>72</v>
      </c>
      <c r="E14" s="4" t="s">
        <v>72</v>
      </c>
      <c r="F14" s="9" t="b">
        <f t="shared" si="2"/>
        <v>1</v>
      </c>
      <c r="G14" s="9" t="str">
        <f t="shared" si="3"/>
        <v>Identification of the Originator</v>
      </c>
      <c r="H14" s="4"/>
      <c r="I14" s="4" t="s">
        <v>72</v>
      </c>
      <c r="J14" s="4" t="s">
        <v>72</v>
      </c>
      <c r="K14" s="4" t="s">
        <v>72</v>
      </c>
      <c r="L14" s="9" t="b">
        <f t="shared" ref="L14:M14" si="15">J14&lt;&gt;D14</f>
        <v>0</v>
      </c>
      <c r="M14" s="9" t="b">
        <f t="shared" si="15"/>
        <v>0</v>
      </c>
      <c r="N14" s="4" t="s">
        <v>38</v>
      </c>
      <c r="O14" s="4" t="s">
        <v>38</v>
      </c>
      <c r="P14" s="4" t="s">
        <v>44</v>
      </c>
      <c r="Q14" s="4">
        <v>7.0</v>
      </c>
      <c r="R14" s="4" t="s">
        <v>39</v>
      </c>
      <c r="S14" s="4" t="s">
        <v>39</v>
      </c>
      <c r="T14" s="4" t="s">
        <v>72</v>
      </c>
      <c r="U14" s="4" t="s">
        <v>72</v>
      </c>
      <c r="V14" s="4" t="s">
        <v>72</v>
      </c>
      <c r="W14" s="4" t="s">
        <v>72</v>
      </c>
      <c r="X14" s="4" t="s">
        <v>72</v>
      </c>
      <c r="Y14" s="4" t="s">
        <v>72</v>
      </c>
      <c r="Z14" s="4" t="s">
        <v>72</v>
      </c>
      <c r="AA14" s="4" t="s">
        <v>72</v>
      </c>
      <c r="AB14" s="4" t="s">
        <v>72</v>
      </c>
      <c r="AC14" s="4" t="s">
        <v>72</v>
      </c>
      <c r="AD14" s="4" t="s">
        <v>72</v>
      </c>
      <c r="AE14" s="4" t="s">
        <v>72</v>
      </c>
      <c r="AF14" s="4" t="s">
        <v>72</v>
      </c>
      <c r="AG14" s="4"/>
      <c r="AH14" s="4"/>
      <c r="AI14" s="4"/>
    </row>
    <row r="15" hidden="1">
      <c r="A15" s="4" t="s">
        <v>73</v>
      </c>
      <c r="B15" s="11">
        <v>2.0</v>
      </c>
      <c r="C15" s="4" t="s">
        <v>52</v>
      </c>
      <c r="D15" s="4" t="s">
        <v>35</v>
      </c>
      <c r="E15" s="4" t="s">
        <v>35</v>
      </c>
      <c r="F15" s="9" t="b">
        <f t="shared" si="2"/>
        <v>1</v>
      </c>
      <c r="G15" s="9" t="str">
        <f t="shared" si="3"/>
        <v>Evidence</v>
      </c>
      <c r="H15" s="4"/>
      <c r="I15" s="4" t="s">
        <v>35</v>
      </c>
      <c r="J15" s="4" t="s">
        <v>35</v>
      </c>
      <c r="K15" s="4" t="s">
        <v>35</v>
      </c>
      <c r="L15" s="9" t="b">
        <f t="shared" ref="L15:M15" si="16">J15&lt;&gt;D15</f>
        <v>0</v>
      </c>
      <c r="M15" s="9" t="b">
        <f t="shared" si="16"/>
        <v>0</v>
      </c>
      <c r="N15" s="4" t="s">
        <v>38</v>
      </c>
      <c r="O15" s="4" t="s">
        <v>38</v>
      </c>
      <c r="P15" s="4">
        <v>5.0</v>
      </c>
      <c r="Q15" s="4">
        <v>6.0</v>
      </c>
      <c r="R15" s="4" t="s">
        <v>39</v>
      </c>
      <c r="S15" s="4" t="s">
        <v>45</v>
      </c>
      <c r="T15" s="4" t="s">
        <v>35</v>
      </c>
      <c r="U15" s="4" t="s">
        <v>35</v>
      </c>
      <c r="V15" s="4" t="s">
        <v>35</v>
      </c>
      <c r="W15" s="4" t="s">
        <v>35</v>
      </c>
      <c r="X15" s="4" t="s">
        <v>35</v>
      </c>
      <c r="Y15" s="4" t="s">
        <v>35</v>
      </c>
      <c r="Z15" s="4" t="s">
        <v>35</v>
      </c>
      <c r="AA15" s="4" t="s">
        <v>35</v>
      </c>
      <c r="AB15" s="4" t="s">
        <v>35</v>
      </c>
      <c r="AC15" s="4" t="s">
        <v>35</v>
      </c>
      <c r="AD15" s="4" t="s">
        <v>35</v>
      </c>
      <c r="AE15" s="4" t="s">
        <v>35</v>
      </c>
      <c r="AF15" s="4" t="s">
        <v>35</v>
      </c>
      <c r="AG15" s="4"/>
      <c r="AH15" s="4"/>
      <c r="AI15" s="4"/>
    </row>
    <row r="16" hidden="1">
      <c r="A16" s="4" t="s">
        <v>74</v>
      </c>
      <c r="B16" s="12">
        <v>3.0</v>
      </c>
      <c r="C16" s="4" t="s">
        <v>47</v>
      </c>
      <c r="D16" s="4" t="s">
        <v>48</v>
      </c>
      <c r="E16" s="4" t="s">
        <v>48</v>
      </c>
      <c r="F16" s="9" t="b">
        <f t="shared" si="2"/>
        <v>1</v>
      </c>
      <c r="G16" s="9" t="str">
        <f t="shared" si="3"/>
        <v>Further Reading</v>
      </c>
      <c r="H16" s="4"/>
      <c r="I16" s="4" t="s">
        <v>48</v>
      </c>
      <c r="J16" s="4" t="s">
        <v>48</v>
      </c>
      <c r="K16" s="4" t="s">
        <v>48</v>
      </c>
      <c r="L16" s="9" t="b">
        <f t="shared" ref="L16:M16" si="17">J16&lt;&gt;D16</f>
        <v>0</v>
      </c>
      <c r="M16" s="9" t="b">
        <f t="shared" si="17"/>
        <v>0</v>
      </c>
      <c r="N16" s="4" t="s">
        <v>38</v>
      </c>
      <c r="O16" s="4" t="s">
        <v>38</v>
      </c>
      <c r="P16" s="4" t="s">
        <v>44</v>
      </c>
      <c r="Q16" s="4">
        <v>5.0</v>
      </c>
      <c r="R16" s="4" t="s">
        <v>39</v>
      </c>
      <c r="S16" s="4" t="s">
        <v>39</v>
      </c>
      <c r="T16" s="4" t="s">
        <v>48</v>
      </c>
      <c r="U16" s="4" t="s">
        <v>48</v>
      </c>
      <c r="V16" s="4" t="s">
        <v>34</v>
      </c>
      <c r="W16" s="4" t="s">
        <v>34</v>
      </c>
      <c r="X16" s="4" t="s">
        <v>48</v>
      </c>
      <c r="Y16" s="4" t="s">
        <v>48</v>
      </c>
      <c r="Z16" s="4" t="s">
        <v>34</v>
      </c>
      <c r="AA16" s="4" t="s">
        <v>48</v>
      </c>
      <c r="AB16" s="4" t="s">
        <v>48</v>
      </c>
      <c r="AC16" s="4" t="s">
        <v>34</v>
      </c>
      <c r="AD16" s="4" t="s">
        <v>34</v>
      </c>
      <c r="AE16" s="4" t="s">
        <v>48</v>
      </c>
      <c r="AF16" s="4" t="s">
        <v>48</v>
      </c>
      <c r="AG16" s="4"/>
      <c r="AH16" s="4"/>
      <c r="AI16" s="4"/>
    </row>
    <row r="17">
      <c r="A17" s="4" t="s">
        <v>75</v>
      </c>
      <c r="B17" s="13">
        <v>4.0</v>
      </c>
      <c r="C17" s="6" t="s">
        <v>42</v>
      </c>
      <c r="D17" s="16" t="s">
        <v>57</v>
      </c>
      <c r="E17" s="6" t="s">
        <v>43</v>
      </c>
      <c r="F17" s="8" t="b">
        <f t="shared" si="2"/>
        <v>0</v>
      </c>
      <c r="G17" s="8" t="str">
        <f t="shared" si="3"/>
        <v>HARD</v>
      </c>
      <c r="H17" s="4" t="s">
        <v>58</v>
      </c>
      <c r="I17" s="16" t="s">
        <v>57</v>
      </c>
      <c r="J17" s="4" t="s">
        <v>57</v>
      </c>
      <c r="K17" s="4" t="s">
        <v>57</v>
      </c>
      <c r="L17" s="9" t="b">
        <f t="shared" ref="L17:M17" si="18">J17&lt;&gt;D17</f>
        <v>0</v>
      </c>
      <c r="M17" s="9" t="b">
        <f t="shared" si="18"/>
        <v>1</v>
      </c>
      <c r="N17" s="4" t="s">
        <v>38</v>
      </c>
      <c r="O17" s="4" t="s">
        <v>37</v>
      </c>
      <c r="P17" s="4">
        <v>5.0</v>
      </c>
      <c r="Q17" s="4">
        <v>4.0</v>
      </c>
      <c r="R17" s="4" t="s">
        <v>39</v>
      </c>
      <c r="S17" s="4" t="s">
        <v>45</v>
      </c>
      <c r="T17" s="6" t="s">
        <v>43</v>
      </c>
      <c r="U17" s="6" t="s">
        <v>43</v>
      </c>
      <c r="V17" s="6" t="s">
        <v>43</v>
      </c>
      <c r="W17" s="6" t="s">
        <v>43</v>
      </c>
      <c r="X17" s="6" t="s">
        <v>43</v>
      </c>
      <c r="Y17" s="6" t="s">
        <v>43</v>
      </c>
      <c r="Z17" s="6" t="s">
        <v>43</v>
      </c>
      <c r="AA17" s="6" t="s">
        <v>43</v>
      </c>
      <c r="AB17" s="6" t="s">
        <v>43</v>
      </c>
      <c r="AC17" s="6" t="s">
        <v>43</v>
      </c>
      <c r="AD17" s="6" t="s">
        <v>43</v>
      </c>
      <c r="AE17" s="6" t="s">
        <v>43</v>
      </c>
      <c r="AF17" s="6" t="s">
        <v>43</v>
      </c>
      <c r="AG17" s="10"/>
      <c r="AH17" s="10"/>
      <c r="AI17" s="10"/>
    </row>
    <row r="18">
      <c r="A18" s="4" t="s">
        <v>76</v>
      </c>
      <c r="B18" s="5">
        <v>1.0</v>
      </c>
      <c r="C18" s="17" t="s">
        <v>69</v>
      </c>
      <c r="D18" s="4" t="s">
        <v>34</v>
      </c>
      <c r="E18" s="7" t="s">
        <v>35</v>
      </c>
      <c r="F18" s="8" t="b">
        <f t="shared" si="2"/>
        <v>0</v>
      </c>
      <c r="G18" s="8" t="str">
        <f t="shared" si="3"/>
        <v>HARD</v>
      </c>
      <c r="H18" s="4" t="s">
        <v>36</v>
      </c>
      <c r="I18" s="7" t="s">
        <v>35</v>
      </c>
      <c r="J18" s="4" t="s">
        <v>34</v>
      </c>
      <c r="K18" s="4" t="s">
        <v>35</v>
      </c>
      <c r="L18" s="9" t="b">
        <f t="shared" ref="L18:M18" si="19">J18&lt;&gt;D18</f>
        <v>0</v>
      </c>
      <c r="M18" s="9" t="b">
        <f t="shared" si="19"/>
        <v>0</v>
      </c>
      <c r="N18" s="4" t="s">
        <v>37</v>
      </c>
      <c r="O18" s="4" t="s">
        <v>37</v>
      </c>
      <c r="P18" s="4">
        <v>2.0</v>
      </c>
      <c r="Q18" s="4">
        <v>6.5</v>
      </c>
      <c r="R18" s="4" t="s">
        <v>39</v>
      </c>
      <c r="S18" s="4" t="s">
        <v>39</v>
      </c>
      <c r="T18" s="4" t="s">
        <v>34</v>
      </c>
      <c r="U18" s="4" t="s">
        <v>35</v>
      </c>
      <c r="V18" s="4" t="s">
        <v>35</v>
      </c>
      <c r="W18" s="4" t="s">
        <v>34</v>
      </c>
      <c r="X18" s="6" t="s">
        <v>35</v>
      </c>
      <c r="Y18" s="4" t="s">
        <v>34</v>
      </c>
      <c r="Z18" s="4" t="s">
        <v>34</v>
      </c>
      <c r="AA18" s="4" t="s">
        <v>34</v>
      </c>
      <c r="AB18" s="4" t="s">
        <v>35</v>
      </c>
      <c r="AC18" s="6" t="s">
        <v>35</v>
      </c>
      <c r="AD18" s="4" t="s">
        <v>34</v>
      </c>
      <c r="AE18" s="6" t="s">
        <v>35</v>
      </c>
      <c r="AF18" s="4" t="s">
        <v>34</v>
      </c>
      <c r="AG18" s="4"/>
      <c r="AH18" s="4"/>
      <c r="AI18" s="4"/>
    </row>
    <row r="19" hidden="1">
      <c r="A19" s="4" t="s">
        <v>77</v>
      </c>
      <c r="B19" s="11">
        <v>2.0</v>
      </c>
      <c r="C19" s="4" t="s">
        <v>42</v>
      </c>
      <c r="D19" s="4" t="s">
        <v>34</v>
      </c>
      <c r="E19" s="4" t="s">
        <v>34</v>
      </c>
      <c r="F19" s="9" t="b">
        <f t="shared" si="2"/>
        <v>1</v>
      </c>
      <c r="G19" s="9" t="str">
        <f t="shared" si="3"/>
        <v>Background</v>
      </c>
      <c r="H19" s="4"/>
      <c r="I19" s="4" t="s">
        <v>34</v>
      </c>
      <c r="J19" s="4" t="s">
        <v>43</v>
      </c>
      <c r="K19" s="4" t="s">
        <v>34</v>
      </c>
      <c r="L19" s="9" t="b">
        <f t="shared" ref="L19:M19" si="20">J19&lt;&gt;D19</f>
        <v>1</v>
      </c>
      <c r="M19" s="9" t="b">
        <f t="shared" si="20"/>
        <v>0</v>
      </c>
      <c r="N19" s="4" t="s">
        <v>38</v>
      </c>
      <c r="O19" s="4" t="s">
        <v>38</v>
      </c>
      <c r="P19" s="4" t="s">
        <v>44</v>
      </c>
      <c r="Q19" s="4">
        <v>6.0</v>
      </c>
      <c r="R19" s="4" t="s">
        <v>39</v>
      </c>
      <c r="S19" s="4" t="s">
        <v>45</v>
      </c>
      <c r="T19" s="4" t="s">
        <v>34</v>
      </c>
      <c r="U19" s="4" t="s">
        <v>34</v>
      </c>
      <c r="V19" s="4" t="s">
        <v>34</v>
      </c>
      <c r="W19" s="4" t="s">
        <v>34</v>
      </c>
      <c r="X19" s="4" t="s">
        <v>34</v>
      </c>
      <c r="Y19" s="4" t="s">
        <v>34</v>
      </c>
      <c r="Z19" s="4" t="s">
        <v>54</v>
      </c>
      <c r="AA19" s="4" t="s">
        <v>34</v>
      </c>
      <c r="AB19" s="4" t="s">
        <v>34</v>
      </c>
      <c r="AC19" s="4" t="s">
        <v>34</v>
      </c>
      <c r="AD19" s="4" t="s">
        <v>34</v>
      </c>
      <c r="AE19" s="4" t="s">
        <v>34</v>
      </c>
      <c r="AF19" s="4" t="s">
        <v>34</v>
      </c>
      <c r="AG19" s="4"/>
      <c r="AH19" s="4"/>
      <c r="AI19" s="4"/>
    </row>
    <row r="20" hidden="1">
      <c r="A20" s="4" t="s">
        <v>78</v>
      </c>
      <c r="B20" s="12">
        <v>3.0</v>
      </c>
      <c r="C20" s="4" t="s">
        <v>56</v>
      </c>
      <c r="D20" s="4" t="s">
        <v>35</v>
      </c>
      <c r="E20" s="4" t="s">
        <v>35</v>
      </c>
      <c r="F20" s="9" t="b">
        <f t="shared" si="2"/>
        <v>1</v>
      </c>
      <c r="G20" s="9" t="str">
        <f t="shared" si="3"/>
        <v>Evidence</v>
      </c>
      <c r="H20" s="4"/>
      <c r="I20" s="4" t="s">
        <v>57</v>
      </c>
      <c r="J20" s="4" t="s">
        <v>48</v>
      </c>
      <c r="K20" s="4" t="s">
        <v>35</v>
      </c>
      <c r="L20" s="9" t="b">
        <f t="shared" ref="L20:M20" si="21">J20&lt;&gt;D20</f>
        <v>1</v>
      </c>
      <c r="M20" s="9" t="b">
        <f t="shared" si="21"/>
        <v>0</v>
      </c>
      <c r="N20" s="4" t="s">
        <v>38</v>
      </c>
      <c r="O20" s="4" t="s">
        <v>38</v>
      </c>
      <c r="P20" s="4" t="s">
        <v>44</v>
      </c>
      <c r="Q20" s="4">
        <v>5.0</v>
      </c>
      <c r="R20" s="4" t="s">
        <v>39</v>
      </c>
      <c r="S20" s="4" t="s">
        <v>39</v>
      </c>
      <c r="T20" s="4" t="s">
        <v>53</v>
      </c>
      <c r="U20" s="4" t="s">
        <v>57</v>
      </c>
      <c r="V20" s="4" t="s">
        <v>57</v>
      </c>
      <c r="W20" s="4" t="s">
        <v>53</v>
      </c>
      <c r="X20" s="4" t="s">
        <v>57</v>
      </c>
      <c r="Y20" s="4" t="s">
        <v>53</v>
      </c>
      <c r="Z20" s="4" t="s">
        <v>53</v>
      </c>
      <c r="AA20" s="4" t="s">
        <v>53</v>
      </c>
      <c r="AB20" s="4" t="s">
        <v>57</v>
      </c>
      <c r="AC20" s="4" t="s">
        <v>57</v>
      </c>
      <c r="AD20" s="4" t="s">
        <v>53</v>
      </c>
      <c r="AE20" s="4" t="s">
        <v>57</v>
      </c>
      <c r="AF20" s="4" t="s">
        <v>53</v>
      </c>
      <c r="AG20" s="4"/>
      <c r="AH20" s="4"/>
      <c r="AI20" s="4"/>
    </row>
    <row r="21" ht="15.75" hidden="1" customHeight="1">
      <c r="A21" s="4" t="s">
        <v>79</v>
      </c>
      <c r="B21" s="13">
        <v>4.0</v>
      </c>
      <c r="C21" s="4" t="s">
        <v>56</v>
      </c>
      <c r="D21" s="4" t="s">
        <v>57</v>
      </c>
      <c r="E21" s="4" t="s">
        <v>57</v>
      </c>
      <c r="F21" s="9" t="b">
        <f t="shared" si="2"/>
        <v>1</v>
      </c>
      <c r="G21" s="9" t="str">
        <f t="shared" si="3"/>
        <v>Improvement/Modification</v>
      </c>
      <c r="H21" s="4"/>
      <c r="I21" s="4" t="s">
        <v>57</v>
      </c>
      <c r="J21" s="4" t="s">
        <v>57</v>
      </c>
      <c r="K21" s="4" t="s">
        <v>57</v>
      </c>
      <c r="L21" s="9" t="b">
        <f t="shared" ref="L21:M21" si="22">J21&lt;&gt;D21</f>
        <v>0</v>
      </c>
      <c r="M21" s="9" t="b">
        <f t="shared" si="22"/>
        <v>0</v>
      </c>
      <c r="N21" s="4" t="s">
        <v>38</v>
      </c>
      <c r="O21" s="4" t="s">
        <v>38</v>
      </c>
      <c r="P21" s="4"/>
      <c r="Q21" s="4">
        <v>1.0</v>
      </c>
      <c r="R21" s="4" t="s">
        <v>39</v>
      </c>
      <c r="S21" s="4" t="s">
        <v>45</v>
      </c>
      <c r="T21" s="4" t="s">
        <v>57</v>
      </c>
      <c r="U21" s="4" t="s">
        <v>57</v>
      </c>
      <c r="V21" s="4" t="s">
        <v>57</v>
      </c>
      <c r="W21" s="4" t="s">
        <v>57</v>
      </c>
      <c r="X21" s="4" t="s">
        <v>57</v>
      </c>
      <c r="Y21" s="4" t="s">
        <v>57</v>
      </c>
      <c r="Z21" s="4" t="s">
        <v>53</v>
      </c>
      <c r="AA21" s="4" t="s">
        <v>57</v>
      </c>
      <c r="AB21" s="4" t="s">
        <v>57</v>
      </c>
      <c r="AC21" s="4" t="s">
        <v>57</v>
      </c>
      <c r="AD21" s="4" t="s">
        <v>57</v>
      </c>
      <c r="AE21" s="4" t="s">
        <v>57</v>
      </c>
      <c r="AF21" s="4" t="s">
        <v>57</v>
      </c>
      <c r="AG21" s="4"/>
      <c r="AH21" s="4"/>
      <c r="AI21" s="4"/>
    </row>
    <row r="22" ht="15.75" hidden="1" customHeight="1">
      <c r="A22" s="4" t="s">
        <v>80</v>
      </c>
      <c r="B22" s="5">
        <v>1.0</v>
      </c>
      <c r="C22" s="4" t="s">
        <v>56</v>
      </c>
      <c r="D22" s="4" t="s">
        <v>57</v>
      </c>
      <c r="E22" s="4" t="s">
        <v>57</v>
      </c>
      <c r="F22" s="9" t="b">
        <f t="shared" si="2"/>
        <v>1</v>
      </c>
      <c r="G22" s="9" t="str">
        <f t="shared" si="3"/>
        <v>Improvement/Modification</v>
      </c>
      <c r="H22" s="4"/>
      <c r="I22" s="4" t="s">
        <v>57</v>
      </c>
      <c r="J22" s="4" t="s">
        <v>57</v>
      </c>
      <c r="K22" s="4" t="s">
        <v>57</v>
      </c>
      <c r="L22" s="9" t="b">
        <f t="shared" ref="L22:M22" si="23">J22&lt;&gt;D22</f>
        <v>0</v>
      </c>
      <c r="M22" s="9" t="b">
        <f t="shared" si="23"/>
        <v>0</v>
      </c>
      <c r="N22" s="4" t="s">
        <v>38</v>
      </c>
      <c r="O22" s="4" t="s">
        <v>37</v>
      </c>
      <c r="P22" s="4" t="s">
        <v>44</v>
      </c>
      <c r="Q22" s="4">
        <v>4.5</v>
      </c>
      <c r="R22" s="4" t="s">
        <v>39</v>
      </c>
      <c r="S22" s="4" t="s">
        <v>39</v>
      </c>
      <c r="T22" s="4" t="s">
        <v>57</v>
      </c>
      <c r="U22" s="4" t="s">
        <v>57</v>
      </c>
      <c r="V22" s="4" t="s">
        <v>53</v>
      </c>
      <c r="W22" s="4" t="s">
        <v>57</v>
      </c>
      <c r="X22" s="4" t="s">
        <v>57</v>
      </c>
      <c r="Y22" s="4" t="s">
        <v>57</v>
      </c>
      <c r="Z22" s="4" t="s">
        <v>53</v>
      </c>
      <c r="AA22" s="4" t="s">
        <v>57</v>
      </c>
      <c r="AB22" s="4" t="s">
        <v>57</v>
      </c>
      <c r="AC22" s="4" t="s">
        <v>53</v>
      </c>
      <c r="AD22" s="4" t="s">
        <v>57</v>
      </c>
      <c r="AE22" s="4" t="s">
        <v>57</v>
      </c>
      <c r="AF22" s="4" t="s">
        <v>57</v>
      </c>
      <c r="AG22" s="4"/>
      <c r="AH22" s="4"/>
      <c r="AI22" s="4"/>
    </row>
    <row r="23" ht="15.75" hidden="1" customHeight="1">
      <c r="A23" s="4" t="s">
        <v>81</v>
      </c>
      <c r="B23" s="11">
        <v>2.0</v>
      </c>
      <c r="C23" s="4" t="s">
        <v>56</v>
      </c>
      <c r="D23" s="4" t="s">
        <v>57</v>
      </c>
      <c r="E23" s="4" t="s">
        <v>57</v>
      </c>
      <c r="F23" s="9" t="b">
        <f t="shared" si="2"/>
        <v>1</v>
      </c>
      <c r="G23" s="9" t="str">
        <f t="shared" si="3"/>
        <v>Improvement/Modification</v>
      </c>
      <c r="H23" s="4"/>
      <c r="I23" s="4" t="s">
        <v>57</v>
      </c>
      <c r="J23" s="4" t="s">
        <v>57</v>
      </c>
      <c r="K23" s="4" t="s">
        <v>57</v>
      </c>
      <c r="L23" s="9" t="b">
        <f t="shared" ref="L23:M23" si="24">J23&lt;&gt;D23</f>
        <v>0</v>
      </c>
      <c r="M23" s="9" t="b">
        <f t="shared" si="24"/>
        <v>0</v>
      </c>
      <c r="N23" s="4" t="s">
        <v>38</v>
      </c>
      <c r="O23" s="4" t="s">
        <v>37</v>
      </c>
      <c r="P23" s="4" t="s">
        <v>44</v>
      </c>
      <c r="Q23" s="4">
        <v>5.0</v>
      </c>
      <c r="R23" s="4" t="s">
        <v>39</v>
      </c>
      <c r="S23" s="4" t="s">
        <v>45</v>
      </c>
      <c r="T23" s="4" t="s">
        <v>53</v>
      </c>
      <c r="U23" s="4" t="s">
        <v>53</v>
      </c>
      <c r="V23" s="4" t="s">
        <v>53</v>
      </c>
      <c r="W23" s="4" t="s">
        <v>53</v>
      </c>
      <c r="X23" s="4" t="s">
        <v>53</v>
      </c>
      <c r="Y23" s="4" t="s">
        <v>53</v>
      </c>
      <c r="Z23" s="4" t="s">
        <v>53</v>
      </c>
      <c r="AA23" s="4" t="s">
        <v>53</v>
      </c>
      <c r="AB23" s="4" t="s">
        <v>53</v>
      </c>
      <c r="AC23" s="4" t="s">
        <v>53</v>
      </c>
      <c r="AD23" s="4" t="s">
        <v>53</v>
      </c>
      <c r="AE23" s="4" t="s">
        <v>53</v>
      </c>
      <c r="AF23" s="4" t="s">
        <v>53</v>
      </c>
      <c r="AG23" s="4"/>
      <c r="AH23" s="4"/>
      <c r="AI23" s="4"/>
    </row>
    <row r="24" ht="15.75" hidden="1" customHeight="1">
      <c r="A24" s="4" t="s">
        <v>82</v>
      </c>
      <c r="B24" s="12">
        <v>3.0</v>
      </c>
      <c r="C24" s="4" t="s">
        <v>47</v>
      </c>
      <c r="D24" s="4" t="s">
        <v>34</v>
      </c>
      <c r="E24" s="4" t="s">
        <v>34</v>
      </c>
      <c r="F24" s="9" t="b">
        <f t="shared" si="2"/>
        <v>1</v>
      </c>
      <c r="G24" s="9" t="str">
        <f t="shared" si="3"/>
        <v>Background</v>
      </c>
      <c r="H24" s="4"/>
      <c r="I24" s="4" t="s">
        <v>34</v>
      </c>
      <c r="J24" s="4" t="s">
        <v>35</v>
      </c>
      <c r="K24" s="4" t="s">
        <v>34</v>
      </c>
      <c r="L24" s="9" t="b">
        <f t="shared" ref="L24:M24" si="25">J24&lt;&gt;D24</f>
        <v>1</v>
      </c>
      <c r="M24" s="9" t="b">
        <f t="shared" si="25"/>
        <v>0</v>
      </c>
      <c r="N24" s="4" t="s">
        <v>38</v>
      </c>
      <c r="O24" s="4" t="s">
        <v>38</v>
      </c>
      <c r="P24" s="4" t="s">
        <v>44</v>
      </c>
      <c r="Q24" s="4"/>
      <c r="R24" s="4" t="s">
        <v>39</v>
      </c>
      <c r="S24" s="4" t="s">
        <v>39</v>
      </c>
      <c r="T24" s="4" t="s">
        <v>34</v>
      </c>
      <c r="U24" s="4" t="s">
        <v>34</v>
      </c>
      <c r="V24" s="4" t="s">
        <v>34</v>
      </c>
      <c r="W24" s="4" t="s">
        <v>34</v>
      </c>
      <c r="X24" s="4" t="s">
        <v>34</v>
      </c>
      <c r="Y24" s="4" t="s">
        <v>34</v>
      </c>
      <c r="Z24" s="4" t="s">
        <v>34</v>
      </c>
      <c r="AA24" s="4" t="s">
        <v>34</v>
      </c>
      <c r="AB24" s="4" t="s">
        <v>34</v>
      </c>
      <c r="AC24" s="4" t="s">
        <v>34</v>
      </c>
      <c r="AD24" s="4" t="s">
        <v>34</v>
      </c>
      <c r="AE24" s="4" t="s">
        <v>34</v>
      </c>
      <c r="AF24" s="4" t="s">
        <v>34</v>
      </c>
      <c r="AG24" s="4"/>
      <c r="AH24" s="4"/>
      <c r="AI24" s="4"/>
    </row>
    <row r="25" ht="15.75" hidden="1" customHeight="1">
      <c r="A25" s="4" t="s">
        <v>83</v>
      </c>
      <c r="B25" s="13">
        <v>4.0</v>
      </c>
      <c r="C25" s="4" t="s">
        <v>56</v>
      </c>
      <c r="D25" s="4" t="s">
        <v>57</v>
      </c>
      <c r="E25" s="4" t="s">
        <v>57</v>
      </c>
      <c r="F25" s="9" t="b">
        <f t="shared" si="2"/>
        <v>1</v>
      </c>
      <c r="G25" s="9" t="str">
        <f t="shared" si="3"/>
        <v>Improvement/Modification</v>
      </c>
      <c r="H25" s="4"/>
      <c r="I25" s="4" t="s">
        <v>57</v>
      </c>
      <c r="J25" s="4" t="s">
        <v>72</v>
      </c>
      <c r="K25" s="4" t="s">
        <v>57</v>
      </c>
      <c r="L25" s="9" t="b">
        <f t="shared" ref="L25:M25" si="26">J25&lt;&gt;D25</f>
        <v>1</v>
      </c>
      <c r="M25" s="9" t="b">
        <f t="shared" si="26"/>
        <v>0</v>
      </c>
      <c r="N25" s="4" t="s">
        <v>38</v>
      </c>
      <c r="O25" s="4" t="s">
        <v>38</v>
      </c>
      <c r="P25" s="4"/>
      <c r="Q25" s="4">
        <v>1.0</v>
      </c>
      <c r="R25" s="4" t="s">
        <v>39</v>
      </c>
      <c r="S25" s="4" t="s">
        <v>45</v>
      </c>
      <c r="T25" s="4" t="s">
        <v>57</v>
      </c>
      <c r="U25" s="4" t="s">
        <v>57</v>
      </c>
      <c r="V25" s="4" t="s">
        <v>57</v>
      </c>
      <c r="W25" s="4" t="s">
        <v>57</v>
      </c>
      <c r="X25" s="4" t="s">
        <v>57</v>
      </c>
      <c r="Y25" s="4" t="s">
        <v>57</v>
      </c>
      <c r="Z25" s="4" t="s">
        <v>53</v>
      </c>
      <c r="AA25" s="4" t="s">
        <v>57</v>
      </c>
      <c r="AB25" s="4" t="s">
        <v>57</v>
      </c>
      <c r="AC25" s="4" t="s">
        <v>57</v>
      </c>
      <c r="AD25" s="4" t="s">
        <v>57</v>
      </c>
      <c r="AE25" s="4" t="s">
        <v>57</v>
      </c>
      <c r="AF25" s="4" t="s">
        <v>57</v>
      </c>
      <c r="AG25" s="4"/>
      <c r="AH25" s="4"/>
      <c r="AI25" s="4"/>
    </row>
    <row r="26" ht="15.75" hidden="1" customHeight="1">
      <c r="A26" s="4" t="s">
        <v>84</v>
      </c>
      <c r="B26" s="5">
        <v>1.0</v>
      </c>
      <c r="C26" s="4" t="s">
        <v>47</v>
      </c>
      <c r="D26" s="4" t="s">
        <v>43</v>
      </c>
      <c r="E26" s="4" t="s">
        <v>43</v>
      </c>
      <c r="F26" s="9" t="b">
        <f t="shared" si="2"/>
        <v>1</v>
      </c>
      <c r="G26" s="9" t="str">
        <f t="shared" si="3"/>
        <v>Comparison</v>
      </c>
      <c r="H26" s="4"/>
      <c r="I26" s="4" t="s">
        <v>43</v>
      </c>
      <c r="J26" s="4" t="s">
        <v>57</v>
      </c>
      <c r="K26" s="4" t="s">
        <v>43</v>
      </c>
      <c r="L26" s="9" t="b">
        <f t="shared" ref="L26:M26" si="27">J26&lt;&gt;D26</f>
        <v>1</v>
      </c>
      <c r="M26" s="9" t="b">
        <f t="shared" si="27"/>
        <v>0</v>
      </c>
      <c r="N26" s="4" t="s">
        <v>37</v>
      </c>
      <c r="O26" s="4" t="s">
        <v>37</v>
      </c>
      <c r="P26" s="4">
        <v>5.0</v>
      </c>
      <c r="Q26" s="4">
        <v>6.5</v>
      </c>
      <c r="R26" s="4" t="s">
        <v>39</v>
      </c>
      <c r="S26" s="4" t="s">
        <v>39</v>
      </c>
      <c r="T26" s="4" t="s">
        <v>34</v>
      </c>
      <c r="U26" s="4" t="s">
        <v>34</v>
      </c>
      <c r="V26" s="4" t="s">
        <v>34</v>
      </c>
      <c r="W26" s="4" t="s">
        <v>34</v>
      </c>
      <c r="X26" s="4" t="s">
        <v>34</v>
      </c>
      <c r="Y26" s="4" t="s">
        <v>34</v>
      </c>
      <c r="Z26" s="4" t="s">
        <v>34</v>
      </c>
      <c r="AA26" s="4" t="s">
        <v>34</v>
      </c>
      <c r="AB26" s="4" t="s">
        <v>34</v>
      </c>
      <c r="AC26" s="4" t="s">
        <v>34</v>
      </c>
      <c r="AD26" s="4" t="s">
        <v>34</v>
      </c>
      <c r="AE26" s="4" t="s">
        <v>34</v>
      </c>
      <c r="AF26" s="4" t="s">
        <v>34</v>
      </c>
      <c r="AG26" s="4"/>
      <c r="AH26" s="4"/>
      <c r="AI26" s="4"/>
    </row>
    <row r="27" ht="15.75" hidden="1" customHeight="1">
      <c r="A27" s="4" t="s">
        <v>85</v>
      </c>
      <c r="B27" s="11">
        <v>2.0</v>
      </c>
      <c r="C27" s="4" t="s">
        <v>33</v>
      </c>
      <c r="D27" s="4" t="s">
        <v>35</v>
      </c>
      <c r="E27" s="4" t="s">
        <v>35</v>
      </c>
      <c r="F27" s="9" t="b">
        <f t="shared" si="2"/>
        <v>1</v>
      </c>
      <c r="G27" s="9" t="str">
        <f t="shared" si="3"/>
        <v>Evidence</v>
      </c>
      <c r="H27" s="4"/>
      <c r="I27" s="4" t="s">
        <v>35</v>
      </c>
      <c r="J27" s="4" t="s">
        <v>35</v>
      </c>
      <c r="K27" s="4" t="s">
        <v>35</v>
      </c>
      <c r="L27" s="9" t="b">
        <f t="shared" ref="L27:M27" si="28">J27&lt;&gt;D27</f>
        <v>0</v>
      </c>
      <c r="M27" s="9" t="b">
        <f t="shared" si="28"/>
        <v>0</v>
      </c>
      <c r="N27" s="4" t="s">
        <v>37</v>
      </c>
      <c r="O27" s="4" t="s">
        <v>38</v>
      </c>
      <c r="P27" s="4" t="s">
        <v>44</v>
      </c>
      <c r="Q27" s="4">
        <v>4.0</v>
      </c>
      <c r="R27" s="4" t="s">
        <v>39</v>
      </c>
      <c r="S27" s="4" t="s">
        <v>45</v>
      </c>
      <c r="T27" s="4" t="s">
        <v>34</v>
      </c>
      <c r="U27" s="4" t="s">
        <v>35</v>
      </c>
      <c r="V27" s="4" t="s">
        <v>34</v>
      </c>
      <c r="W27" s="4" t="s">
        <v>34</v>
      </c>
      <c r="X27" s="4" t="s">
        <v>34</v>
      </c>
      <c r="Y27" s="4" t="s">
        <v>34</v>
      </c>
      <c r="Z27" s="4" t="s">
        <v>35</v>
      </c>
      <c r="AA27" s="4" t="s">
        <v>34</v>
      </c>
      <c r="AB27" s="4" t="s">
        <v>34</v>
      </c>
      <c r="AC27" s="4" t="s">
        <v>34</v>
      </c>
      <c r="AD27" s="4" t="s">
        <v>34</v>
      </c>
      <c r="AE27" s="4" t="s">
        <v>34</v>
      </c>
      <c r="AF27" s="4" t="s">
        <v>34</v>
      </c>
      <c r="AG27" s="4"/>
      <c r="AH27" s="4"/>
      <c r="AI27" s="4"/>
    </row>
    <row r="28" ht="15.75" hidden="1" customHeight="1">
      <c r="A28" s="4" t="s">
        <v>86</v>
      </c>
      <c r="B28" s="12">
        <v>3.0</v>
      </c>
      <c r="C28" s="4" t="s">
        <v>71</v>
      </c>
      <c r="D28" s="4" t="s">
        <v>72</v>
      </c>
      <c r="E28" s="4" t="s">
        <v>72</v>
      </c>
      <c r="F28" s="9" t="b">
        <f t="shared" si="2"/>
        <v>1</v>
      </c>
      <c r="G28" s="9" t="str">
        <f t="shared" si="3"/>
        <v>Identification of the Originator</v>
      </c>
      <c r="H28" s="4"/>
      <c r="I28" s="4" t="s">
        <v>72</v>
      </c>
      <c r="J28" s="4" t="s">
        <v>35</v>
      </c>
      <c r="K28" s="4" t="s">
        <v>72</v>
      </c>
      <c r="L28" s="9" t="b">
        <f t="shared" ref="L28:M28" si="29">J28&lt;&gt;D28</f>
        <v>1</v>
      </c>
      <c r="M28" s="9" t="b">
        <f t="shared" si="29"/>
        <v>0</v>
      </c>
      <c r="N28" s="4" t="s">
        <v>37</v>
      </c>
      <c r="O28" s="4" t="s">
        <v>38</v>
      </c>
      <c r="P28" s="4">
        <v>2.0</v>
      </c>
      <c r="Q28" s="4"/>
      <c r="R28" s="4" t="s">
        <v>39</v>
      </c>
      <c r="S28" s="4" t="s">
        <v>39</v>
      </c>
      <c r="T28" s="4" t="s">
        <v>72</v>
      </c>
      <c r="U28" s="4" t="s">
        <v>72</v>
      </c>
      <c r="V28" s="4" t="s">
        <v>72</v>
      </c>
      <c r="W28" s="4" t="s">
        <v>72</v>
      </c>
      <c r="X28" s="4" t="s">
        <v>72</v>
      </c>
      <c r="Y28" s="4" t="s">
        <v>72</v>
      </c>
      <c r="Z28" s="4" t="s">
        <v>60</v>
      </c>
      <c r="AA28" s="4" t="s">
        <v>72</v>
      </c>
      <c r="AB28" s="4" t="s">
        <v>72</v>
      </c>
      <c r="AC28" s="4" t="s">
        <v>72</v>
      </c>
      <c r="AD28" s="4" t="s">
        <v>72</v>
      </c>
      <c r="AE28" s="4" t="s">
        <v>72</v>
      </c>
      <c r="AF28" s="4" t="s">
        <v>72</v>
      </c>
      <c r="AG28" s="4"/>
      <c r="AH28" s="4"/>
      <c r="AI28" s="4"/>
    </row>
    <row r="29" ht="15.75" hidden="1" customHeight="1">
      <c r="A29" s="4" t="s">
        <v>87</v>
      </c>
      <c r="B29" s="13">
        <v>4.0</v>
      </c>
      <c r="C29" s="4" t="s">
        <v>71</v>
      </c>
      <c r="D29" s="4" t="s">
        <v>72</v>
      </c>
      <c r="E29" s="4" t="s">
        <v>72</v>
      </c>
      <c r="F29" s="9" t="b">
        <f t="shared" si="2"/>
        <v>1</v>
      </c>
      <c r="G29" s="9" t="str">
        <f t="shared" si="3"/>
        <v>Identification of the Originator</v>
      </c>
      <c r="H29" s="4"/>
      <c r="I29" s="4" t="s">
        <v>72</v>
      </c>
      <c r="J29" s="4" t="s">
        <v>72</v>
      </c>
      <c r="K29" s="4" t="s">
        <v>72</v>
      </c>
      <c r="L29" s="9" t="b">
        <f t="shared" ref="L29:M29" si="30">J29&lt;&gt;D29</f>
        <v>0</v>
      </c>
      <c r="M29" s="9" t="b">
        <f t="shared" si="30"/>
        <v>0</v>
      </c>
      <c r="N29" s="4" t="s">
        <v>38</v>
      </c>
      <c r="O29" s="4" t="s">
        <v>38</v>
      </c>
      <c r="P29" s="4"/>
      <c r="Q29" s="4">
        <v>1.0</v>
      </c>
      <c r="R29" s="4" t="s">
        <v>39</v>
      </c>
      <c r="S29" s="4" t="s">
        <v>45</v>
      </c>
      <c r="T29" s="4" t="s">
        <v>72</v>
      </c>
      <c r="U29" s="4" t="s">
        <v>72</v>
      </c>
      <c r="V29" s="4" t="s">
        <v>72</v>
      </c>
      <c r="W29" s="4" t="s">
        <v>60</v>
      </c>
      <c r="X29" s="4" t="s">
        <v>72</v>
      </c>
      <c r="Y29" s="4" t="s">
        <v>72</v>
      </c>
      <c r="Z29" s="4" t="s">
        <v>60</v>
      </c>
      <c r="AA29" s="4" t="s">
        <v>72</v>
      </c>
      <c r="AB29" s="4" t="s">
        <v>72</v>
      </c>
      <c r="AC29" s="4" t="s">
        <v>72</v>
      </c>
      <c r="AD29" s="4" t="s">
        <v>60</v>
      </c>
      <c r="AE29" s="4" t="s">
        <v>72</v>
      </c>
      <c r="AF29" s="4" t="s">
        <v>72</v>
      </c>
      <c r="AG29" s="4"/>
      <c r="AH29" s="4"/>
      <c r="AI29" s="4"/>
    </row>
    <row r="30" ht="15.75" hidden="1" customHeight="1">
      <c r="A30" s="4" t="s">
        <v>88</v>
      </c>
      <c r="B30" s="5">
        <v>1.0</v>
      </c>
      <c r="C30" s="4" t="s">
        <v>47</v>
      </c>
      <c r="D30" s="4" t="s">
        <v>48</v>
      </c>
      <c r="E30" s="4" t="s">
        <v>48</v>
      </c>
      <c r="F30" s="9" t="b">
        <f t="shared" si="2"/>
        <v>1</v>
      </c>
      <c r="G30" s="9" t="str">
        <f t="shared" si="3"/>
        <v>Further Reading</v>
      </c>
      <c r="H30" s="4"/>
      <c r="I30" s="4" t="s">
        <v>48</v>
      </c>
      <c r="J30" s="4" t="s">
        <v>48</v>
      </c>
      <c r="K30" s="4" t="s">
        <v>48</v>
      </c>
      <c r="L30" s="9" t="b">
        <f t="shared" ref="L30:M30" si="31">J30&lt;&gt;D30</f>
        <v>0</v>
      </c>
      <c r="M30" s="9" t="b">
        <f t="shared" si="31"/>
        <v>0</v>
      </c>
      <c r="N30" s="4" t="s">
        <v>38</v>
      </c>
      <c r="O30" s="4" t="s">
        <v>38</v>
      </c>
      <c r="P30" s="4" t="s">
        <v>44</v>
      </c>
      <c r="Q30" s="4">
        <v>6.0</v>
      </c>
      <c r="R30" s="4" t="s">
        <v>39</v>
      </c>
      <c r="S30" s="4" t="s">
        <v>39</v>
      </c>
      <c r="T30" s="4" t="s">
        <v>48</v>
      </c>
      <c r="U30" s="4" t="s">
        <v>48</v>
      </c>
      <c r="V30" s="4" t="s">
        <v>48</v>
      </c>
      <c r="W30" s="4" t="s">
        <v>48</v>
      </c>
      <c r="X30" s="4" t="s">
        <v>48</v>
      </c>
      <c r="Y30" s="4" t="s">
        <v>48</v>
      </c>
      <c r="Z30" s="4" t="s">
        <v>34</v>
      </c>
      <c r="AA30" s="4" t="s">
        <v>48</v>
      </c>
      <c r="AB30" s="4" t="s">
        <v>48</v>
      </c>
      <c r="AC30" s="4" t="s">
        <v>48</v>
      </c>
      <c r="AD30" s="4" t="s">
        <v>48</v>
      </c>
      <c r="AE30" s="4" t="s">
        <v>48</v>
      </c>
      <c r="AF30" s="4" t="s">
        <v>48</v>
      </c>
      <c r="AG30" s="4"/>
      <c r="AH30" s="4"/>
      <c r="AI30" s="4"/>
    </row>
    <row r="31" ht="15.75" customHeight="1">
      <c r="A31" s="4" t="s">
        <v>89</v>
      </c>
      <c r="B31" s="11">
        <v>2.0</v>
      </c>
      <c r="C31" s="6" t="s">
        <v>69</v>
      </c>
      <c r="D31" s="4" t="s">
        <v>35</v>
      </c>
      <c r="E31" s="6" t="s">
        <v>48</v>
      </c>
      <c r="F31" s="8" t="b">
        <f t="shared" si="2"/>
        <v>0</v>
      </c>
      <c r="G31" s="8" t="str">
        <f t="shared" si="3"/>
        <v>HARD</v>
      </c>
      <c r="H31" s="4" t="s">
        <v>62</v>
      </c>
      <c r="I31" s="6" t="s">
        <v>48</v>
      </c>
      <c r="J31" s="4" t="s">
        <v>35</v>
      </c>
      <c r="K31" s="4" t="s">
        <v>48</v>
      </c>
      <c r="L31" s="9" t="b">
        <f t="shared" ref="L31:M31" si="32">J31&lt;&gt;D31</f>
        <v>0</v>
      </c>
      <c r="M31" s="9" t="b">
        <f t="shared" si="32"/>
        <v>0</v>
      </c>
      <c r="N31" s="4" t="s">
        <v>38</v>
      </c>
      <c r="O31" s="4" t="s">
        <v>37</v>
      </c>
      <c r="P31" s="4" t="s">
        <v>44</v>
      </c>
      <c r="Q31" s="4">
        <v>8.0</v>
      </c>
      <c r="R31" s="4" t="s">
        <v>39</v>
      </c>
      <c r="S31" s="4" t="s">
        <v>45</v>
      </c>
      <c r="T31" s="6" t="s">
        <v>48</v>
      </c>
      <c r="U31" s="6" t="s">
        <v>48</v>
      </c>
      <c r="V31" s="4" t="s">
        <v>35</v>
      </c>
      <c r="W31" s="6" t="s">
        <v>48</v>
      </c>
      <c r="X31" s="6" t="s">
        <v>48</v>
      </c>
      <c r="Y31" s="6" t="s">
        <v>48</v>
      </c>
      <c r="Z31" s="4" t="s">
        <v>54</v>
      </c>
      <c r="AA31" s="6" t="s">
        <v>48</v>
      </c>
      <c r="AB31" s="6" t="s">
        <v>48</v>
      </c>
      <c r="AC31" s="4" t="s">
        <v>35</v>
      </c>
      <c r="AD31" s="6" t="s">
        <v>48</v>
      </c>
      <c r="AE31" s="6" t="s">
        <v>48</v>
      </c>
      <c r="AF31" s="6" t="s">
        <v>48</v>
      </c>
      <c r="AG31" s="10"/>
      <c r="AH31" s="10"/>
      <c r="AI31" s="10"/>
    </row>
    <row r="32" ht="15.75" customHeight="1">
      <c r="A32" s="4" t="s">
        <v>90</v>
      </c>
      <c r="B32" s="12">
        <v>3.0</v>
      </c>
      <c r="C32" s="4" t="s">
        <v>52</v>
      </c>
      <c r="D32" s="14" t="s">
        <v>35</v>
      </c>
      <c r="E32" s="14" t="s">
        <v>60</v>
      </c>
      <c r="F32" s="8" t="b">
        <f t="shared" si="2"/>
        <v>0</v>
      </c>
      <c r="G32" s="8" t="str">
        <f t="shared" si="3"/>
        <v>HARD</v>
      </c>
      <c r="H32" s="4" t="s">
        <v>36</v>
      </c>
      <c r="I32" s="6" t="s">
        <v>34</v>
      </c>
      <c r="J32" s="4" t="s">
        <v>35</v>
      </c>
      <c r="K32" s="4" t="s">
        <v>60</v>
      </c>
      <c r="L32" s="9" t="b">
        <f t="shared" ref="L32:M32" si="33">J32&lt;&gt;D32</f>
        <v>0</v>
      </c>
      <c r="M32" s="9" t="b">
        <f t="shared" si="33"/>
        <v>0</v>
      </c>
      <c r="N32" s="4" t="s">
        <v>38</v>
      </c>
      <c r="O32" s="4" t="s">
        <v>37</v>
      </c>
      <c r="P32" s="4" t="s">
        <v>91</v>
      </c>
      <c r="Q32" s="4">
        <v>10.0</v>
      </c>
      <c r="R32" s="4" t="s">
        <v>39</v>
      </c>
      <c r="S32" s="4" t="s">
        <v>39</v>
      </c>
      <c r="T32" s="4" t="s">
        <v>34</v>
      </c>
      <c r="U32" s="4" t="s">
        <v>34</v>
      </c>
      <c r="V32" s="4" t="s">
        <v>57</v>
      </c>
      <c r="W32" s="4" t="s">
        <v>60</v>
      </c>
      <c r="X32" s="6" t="s">
        <v>34</v>
      </c>
      <c r="Y32" s="6" t="s">
        <v>34</v>
      </c>
      <c r="Z32" s="4" t="s">
        <v>60</v>
      </c>
      <c r="AA32" s="4" t="s">
        <v>34</v>
      </c>
      <c r="AB32" s="4" t="s">
        <v>34</v>
      </c>
      <c r="AC32" s="6" t="s">
        <v>34</v>
      </c>
      <c r="AD32" s="14" t="s">
        <v>60</v>
      </c>
      <c r="AE32" s="6" t="s">
        <v>34</v>
      </c>
      <c r="AF32" s="6" t="s">
        <v>34</v>
      </c>
      <c r="AG32" s="10"/>
      <c r="AH32" s="10"/>
      <c r="AI32" s="10"/>
    </row>
    <row r="33" ht="15.75" customHeight="1">
      <c r="A33" s="4" t="s">
        <v>92</v>
      </c>
      <c r="B33" s="13">
        <v>4.0</v>
      </c>
      <c r="C33" s="4" t="s">
        <v>52</v>
      </c>
      <c r="D33" s="6" t="s">
        <v>34</v>
      </c>
      <c r="E33" s="4" t="s">
        <v>35</v>
      </c>
      <c r="F33" s="8" t="b">
        <f t="shared" si="2"/>
        <v>0</v>
      </c>
      <c r="G33" s="8" t="str">
        <f t="shared" si="3"/>
        <v>HARD</v>
      </c>
      <c r="H33" s="4" t="s">
        <v>36</v>
      </c>
      <c r="I33" s="6" t="s">
        <v>34</v>
      </c>
      <c r="J33" s="4" t="s">
        <v>34</v>
      </c>
      <c r="K33" s="4" t="s">
        <v>35</v>
      </c>
      <c r="L33" s="9" t="b">
        <f t="shared" ref="L33:M33" si="34">J33&lt;&gt;D33</f>
        <v>0</v>
      </c>
      <c r="M33" s="9" t="b">
        <f t="shared" si="34"/>
        <v>0</v>
      </c>
      <c r="N33" s="4" t="s">
        <v>37</v>
      </c>
      <c r="O33" s="4" t="s">
        <v>65</v>
      </c>
      <c r="P33" s="4"/>
      <c r="Q33" s="4">
        <v>5.0</v>
      </c>
      <c r="R33" s="4" t="s">
        <v>39</v>
      </c>
      <c r="S33" s="4" t="s">
        <v>45</v>
      </c>
      <c r="T33" s="6" t="s">
        <v>34</v>
      </c>
      <c r="U33" s="6" t="s">
        <v>34</v>
      </c>
      <c r="V33" s="6" t="s">
        <v>34</v>
      </c>
      <c r="W33" s="6" t="s">
        <v>34</v>
      </c>
      <c r="X33" s="6" t="s">
        <v>34</v>
      </c>
      <c r="Y33" s="6" t="s">
        <v>34</v>
      </c>
      <c r="Z33" s="6" t="s">
        <v>34</v>
      </c>
      <c r="AA33" s="6" t="s">
        <v>34</v>
      </c>
      <c r="AB33" s="6" t="s">
        <v>34</v>
      </c>
      <c r="AC33" s="6" t="s">
        <v>34</v>
      </c>
      <c r="AD33" s="6" t="s">
        <v>34</v>
      </c>
      <c r="AE33" s="6" t="s">
        <v>34</v>
      </c>
      <c r="AF33" s="6" t="s">
        <v>34</v>
      </c>
      <c r="AG33" s="10"/>
      <c r="AH33" s="10"/>
      <c r="AI33" s="10"/>
    </row>
    <row r="34" ht="15.75" hidden="1" customHeight="1">
      <c r="A34" s="4" t="s">
        <v>93</v>
      </c>
      <c r="B34" s="5">
        <v>1.0</v>
      </c>
      <c r="C34" s="4" t="s">
        <v>52</v>
      </c>
      <c r="D34" s="4" t="s">
        <v>34</v>
      </c>
      <c r="E34" s="4" t="s">
        <v>34</v>
      </c>
      <c r="F34" s="9" t="b">
        <f t="shared" si="2"/>
        <v>1</v>
      </c>
      <c r="G34" s="9" t="str">
        <f t="shared" si="3"/>
        <v>Background</v>
      </c>
      <c r="H34" s="4"/>
      <c r="I34" s="4" t="s">
        <v>34</v>
      </c>
      <c r="J34" s="4" t="s">
        <v>34</v>
      </c>
      <c r="K34" s="4" t="s">
        <v>34</v>
      </c>
      <c r="L34" s="9" t="b">
        <f t="shared" ref="L34:M34" si="35">J34&lt;&gt;D34</f>
        <v>0</v>
      </c>
      <c r="M34" s="9" t="b">
        <f t="shared" si="35"/>
        <v>0</v>
      </c>
      <c r="N34" s="4" t="s">
        <v>38</v>
      </c>
      <c r="O34" s="4" t="s">
        <v>38</v>
      </c>
      <c r="P34" s="4" t="s">
        <v>44</v>
      </c>
      <c r="Q34" s="4">
        <v>7.0</v>
      </c>
      <c r="R34" s="4" t="s">
        <v>39</v>
      </c>
      <c r="S34" s="4" t="s">
        <v>39</v>
      </c>
      <c r="T34" s="4" t="s">
        <v>34</v>
      </c>
      <c r="U34" s="4" t="s">
        <v>34</v>
      </c>
      <c r="V34" s="4" t="s">
        <v>43</v>
      </c>
      <c r="W34" s="4" t="s">
        <v>34</v>
      </c>
      <c r="X34" s="4" t="s">
        <v>34</v>
      </c>
      <c r="Y34" s="4" t="s">
        <v>34</v>
      </c>
      <c r="Z34" s="4" t="s">
        <v>53</v>
      </c>
      <c r="AA34" s="4" t="s">
        <v>34</v>
      </c>
      <c r="AB34" s="4" t="s">
        <v>34</v>
      </c>
      <c r="AC34" s="4" t="s">
        <v>43</v>
      </c>
      <c r="AD34" s="4" t="s">
        <v>34</v>
      </c>
      <c r="AE34" s="4" t="s">
        <v>34</v>
      </c>
      <c r="AF34" s="4" t="s">
        <v>34</v>
      </c>
      <c r="AG34" s="4"/>
      <c r="AH34" s="4"/>
      <c r="AI34" s="4"/>
    </row>
    <row r="35" ht="15.75" hidden="1" customHeight="1">
      <c r="A35" s="4" t="s">
        <v>94</v>
      </c>
      <c r="B35" s="11">
        <v>2.0</v>
      </c>
      <c r="C35" s="4" t="s">
        <v>52</v>
      </c>
      <c r="D35" s="4" t="s">
        <v>34</v>
      </c>
      <c r="E35" s="4" t="s">
        <v>34</v>
      </c>
      <c r="F35" s="9" t="b">
        <f t="shared" si="2"/>
        <v>1</v>
      </c>
      <c r="G35" s="9" t="str">
        <f t="shared" si="3"/>
        <v>Background</v>
      </c>
      <c r="H35" s="4"/>
      <c r="I35" s="4" t="s">
        <v>34</v>
      </c>
      <c r="J35" s="4" t="s">
        <v>34</v>
      </c>
      <c r="K35" s="4" t="s">
        <v>34</v>
      </c>
      <c r="L35" s="9" t="b">
        <f t="shared" ref="L35:M35" si="36">J35&lt;&gt;D35</f>
        <v>0</v>
      </c>
      <c r="M35" s="9" t="b">
        <f t="shared" si="36"/>
        <v>0</v>
      </c>
      <c r="N35" s="4" t="s">
        <v>38</v>
      </c>
      <c r="O35" s="4" t="s">
        <v>38</v>
      </c>
      <c r="P35" s="4" t="s">
        <v>44</v>
      </c>
      <c r="Q35" s="4">
        <v>2.0</v>
      </c>
      <c r="R35" s="4" t="s">
        <v>39</v>
      </c>
      <c r="S35" s="4" t="s">
        <v>45</v>
      </c>
      <c r="T35" s="4" t="s">
        <v>34</v>
      </c>
      <c r="U35" s="4" t="s">
        <v>34</v>
      </c>
      <c r="V35" s="4" t="s">
        <v>34</v>
      </c>
      <c r="W35" s="4" t="s">
        <v>34</v>
      </c>
      <c r="X35" s="4" t="s">
        <v>34</v>
      </c>
      <c r="Y35" s="4" t="s">
        <v>34</v>
      </c>
      <c r="Z35" s="4" t="s">
        <v>60</v>
      </c>
      <c r="AA35" s="4" t="s">
        <v>34</v>
      </c>
      <c r="AB35" s="4" t="s">
        <v>34</v>
      </c>
      <c r="AC35" s="4" t="s">
        <v>34</v>
      </c>
      <c r="AD35" s="4" t="s">
        <v>34</v>
      </c>
      <c r="AE35" s="4" t="s">
        <v>34</v>
      </c>
      <c r="AF35" s="4" t="s">
        <v>34</v>
      </c>
      <c r="AG35" s="4"/>
      <c r="AH35" s="4"/>
      <c r="AI35" s="4"/>
    </row>
    <row r="36" ht="15.75" hidden="1" customHeight="1">
      <c r="A36" s="4" t="s">
        <v>95</v>
      </c>
      <c r="B36" s="12">
        <v>3.0</v>
      </c>
      <c r="C36" s="4" t="s">
        <v>69</v>
      </c>
      <c r="D36" s="4" t="s">
        <v>48</v>
      </c>
      <c r="E36" s="4" t="s">
        <v>48</v>
      </c>
      <c r="F36" s="9" t="b">
        <f t="shared" si="2"/>
        <v>1</v>
      </c>
      <c r="G36" s="9" t="str">
        <f t="shared" si="3"/>
        <v>Further Reading</v>
      </c>
      <c r="H36" s="4"/>
      <c r="I36" s="4" t="s">
        <v>48</v>
      </c>
      <c r="J36" s="4" t="s">
        <v>48</v>
      </c>
      <c r="K36" s="4" t="s">
        <v>48</v>
      </c>
      <c r="L36" s="9" t="b">
        <f t="shared" ref="L36:M36" si="37">J36&lt;&gt;D36</f>
        <v>0</v>
      </c>
      <c r="M36" s="9" t="b">
        <f t="shared" si="37"/>
        <v>0</v>
      </c>
      <c r="N36" s="4" t="s">
        <v>38</v>
      </c>
      <c r="O36" s="4" t="s">
        <v>38</v>
      </c>
      <c r="P36" s="4" t="s">
        <v>44</v>
      </c>
      <c r="Q36" s="4">
        <v>2.0</v>
      </c>
      <c r="R36" s="4" t="s">
        <v>39</v>
      </c>
      <c r="S36" s="4" t="s">
        <v>39</v>
      </c>
      <c r="T36" s="4" t="s">
        <v>48</v>
      </c>
      <c r="U36" s="4" t="s">
        <v>48</v>
      </c>
      <c r="V36" s="4" t="s">
        <v>34</v>
      </c>
      <c r="W36" s="4" t="s">
        <v>48</v>
      </c>
      <c r="X36" s="4" t="s">
        <v>48</v>
      </c>
      <c r="Y36" s="4" t="s">
        <v>48</v>
      </c>
      <c r="Z36" s="4" t="s">
        <v>34</v>
      </c>
      <c r="AA36" s="4" t="s">
        <v>48</v>
      </c>
      <c r="AB36" s="4" t="s">
        <v>48</v>
      </c>
      <c r="AC36" s="4" t="s">
        <v>34</v>
      </c>
      <c r="AD36" s="4" t="s">
        <v>48</v>
      </c>
      <c r="AE36" s="4" t="s">
        <v>48</v>
      </c>
      <c r="AF36" s="4" t="s">
        <v>48</v>
      </c>
      <c r="AG36" s="4"/>
      <c r="AH36" s="4"/>
      <c r="AI36" s="4"/>
    </row>
    <row r="37" ht="15.75" hidden="1" customHeight="1">
      <c r="A37" s="4" t="s">
        <v>96</v>
      </c>
      <c r="B37" s="13">
        <v>4.0</v>
      </c>
      <c r="C37" s="4" t="s">
        <v>71</v>
      </c>
      <c r="D37" s="4" t="s">
        <v>72</v>
      </c>
      <c r="E37" s="4" t="s">
        <v>72</v>
      </c>
      <c r="F37" s="9" t="b">
        <f t="shared" si="2"/>
        <v>1</v>
      </c>
      <c r="G37" s="9" t="str">
        <f t="shared" si="3"/>
        <v>Identification of the Originator</v>
      </c>
      <c r="H37" s="4"/>
      <c r="I37" s="4" t="s">
        <v>72</v>
      </c>
      <c r="J37" s="4" t="s">
        <v>72</v>
      </c>
      <c r="K37" s="4" t="s">
        <v>72</v>
      </c>
      <c r="L37" s="9" t="b">
        <f t="shared" ref="L37:M37" si="38">J37&lt;&gt;D37</f>
        <v>0</v>
      </c>
      <c r="M37" s="9" t="b">
        <f t="shared" si="38"/>
        <v>0</v>
      </c>
      <c r="N37" s="4" t="s">
        <v>38</v>
      </c>
      <c r="O37" s="4" t="s">
        <v>38</v>
      </c>
      <c r="P37" s="4"/>
      <c r="Q37" s="4">
        <v>1.0</v>
      </c>
      <c r="R37" s="4" t="s">
        <v>39</v>
      </c>
      <c r="S37" s="4" t="s">
        <v>45</v>
      </c>
      <c r="T37" s="4" t="s">
        <v>72</v>
      </c>
      <c r="U37" s="4" t="s">
        <v>72</v>
      </c>
      <c r="V37" s="4" t="s">
        <v>72</v>
      </c>
      <c r="W37" s="4" t="s">
        <v>72</v>
      </c>
      <c r="X37" s="4" t="s">
        <v>72</v>
      </c>
      <c r="Y37" s="4" t="s">
        <v>72</v>
      </c>
      <c r="Z37" s="4" t="s">
        <v>72</v>
      </c>
      <c r="AA37" s="4" t="s">
        <v>72</v>
      </c>
      <c r="AB37" s="4" t="s">
        <v>72</v>
      </c>
      <c r="AC37" s="4" t="s">
        <v>72</v>
      </c>
      <c r="AD37" s="4" t="s">
        <v>72</v>
      </c>
      <c r="AE37" s="4" t="s">
        <v>72</v>
      </c>
      <c r="AF37" s="4" t="s">
        <v>72</v>
      </c>
      <c r="AG37" s="4"/>
      <c r="AH37" s="4"/>
      <c r="AI37" s="4"/>
    </row>
    <row r="38" ht="15.75" hidden="1" customHeight="1">
      <c r="A38" s="4" t="s">
        <v>97</v>
      </c>
      <c r="B38" s="5">
        <v>1.0</v>
      </c>
      <c r="C38" s="4" t="s">
        <v>69</v>
      </c>
      <c r="D38" s="4" t="s">
        <v>48</v>
      </c>
      <c r="E38" s="4" t="s">
        <v>48</v>
      </c>
      <c r="F38" s="9" t="b">
        <f t="shared" si="2"/>
        <v>1</v>
      </c>
      <c r="G38" s="9" t="str">
        <f t="shared" si="3"/>
        <v>Further Reading</v>
      </c>
      <c r="H38" s="4"/>
      <c r="I38" s="4" t="s">
        <v>48</v>
      </c>
      <c r="J38" s="4" t="s">
        <v>48</v>
      </c>
      <c r="K38" s="4" t="s">
        <v>48</v>
      </c>
      <c r="L38" s="9" t="b">
        <f t="shared" ref="L38:M38" si="39">J38&lt;&gt;D38</f>
        <v>0</v>
      </c>
      <c r="M38" s="9" t="b">
        <f t="shared" si="39"/>
        <v>0</v>
      </c>
      <c r="N38" s="4" t="s">
        <v>38</v>
      </c>
      <c r="O38" s="4" t="s">
        <v>38</v>
      </c>
      <c r="P38" s="4" t="s">
        <v>44</v>
      </c>
      <c r="Q38" s="4">
        <v>5.5</v>
      </c>
      <c r="R38" s="4" t="s">
        <v>39</v>
      </c>
      <c r="S38" s="4" t="s">
        <v>39</v>
      </c>
      <c r="T38" s="4" t="s">
        <v>48</v>
      </c>
      <c r="U38" s="4" t="s">
        <v>48</v>
      </c>
      <c r="V38" s="4" t="s">
        <v>48</v>
      </c>
      <c r="W38" s="4" t="s">
        <v>48</v>
      </c>
      <c r="X38" s="4" t="s">
        <v>48</v>
      </c>
      <c r="Y38" s="4" t="s">
        <v>48</v>
      </c>
      <c r="Z38" s="4" t="s">
        <v>48</v>
      </c>
      <c r="AA38" s="4" t="s">
        <v>48</v>
      </c>
      <c r="AB38" s="4" t="s">
        <v>48</v>
      </c>
      <c r="AC38" s="4" t="s">
        <v>48</v>
      </c>
      <c r="AD38" s="4" t="s">
        <v>48</v>
      </c>
      <c r="AE38" s="4" t="s">
        <v>48</v>
      </c>
      <c r="AF38" s="4" t="s">
        <v>48</v>
      </c>
      <c r="AG38" s="4"/>
      <c r="AH38" s="4"/>
      <c r="AI38" s="4"/>
    </row>
    <row r="39" ht="15.75" hidden="1" customHeight="1">
      <c r="A39" s="4" t="s">
        <v>98</v>
      </c>
      <c r="B39" s="11">
        <v>2.0</v>
      </c>
      <c r="C39" s="4" t="s">
        <v>52</v>
      </c>
      <c r="D39" s="4" t="s">
        <v>34</v>
      </c>
      <c r="E39" s="4" t="s">
        <v>34</v>
      </c>
      <c r="F39" s="9" t="b">
        <f t="shared" si="2"/>
        <v>1</v>
      </c>
      <c r="G39" s="9" t="str">
        <f t="shared" si="3"/>
        <v>Background</v>
      </c>
      <c r="H39" s="4"/>
      <c r="I39" s="4" t="s">
        <v>34</v>
      </c>
      <c r="J39" s="4" t="s">
        <v>34</v>
      </c>
      <c r="K39" s="4" t="s">
        <v>34</v>
      </c>
      <c r="L39" s="9" t="b">
        <f t="shared" ref="L39:M39" si="40">J39&lt;&gt;D39</f>
        <v>0</v>
      </c>
      <c r="M39" s="9" t="b">
        <f t="shared" si="40"/>
        <v>0</v>
      </c>
      <c r="N39" s="4" t="s">
        <v>38</v>
      </c>
      <c r="O39" s="4" t="s">
        <v>38</v>
      </c>
      <c r="P39" s="4" t="s">
        <v>44</v>
      </c>
      <c r="Q39" s="4">
        <v>3.0</v>
      </c>
      <c r="R39" s="4" t="s">
        <v>39</v>
      </c>
      <c r="S39" s="4" t="s">
        <v>45</v>
      </c>
      <c r="T39" s="4" t="s">
        <v>34</v>
      </c>
      <c r="U39" s="4" t="s">
        <v>34</v>
      </c>
      <c r="V39" s="4" t="s">
        <v>57</v>
      </c>
      <c r="W39" s="4" t="s">
        <v>53</v>
      </c>
      <c r="X39" s="4" t="s">
        <v>34</v>
      </c>
      <c r="Y39" s="4" t="s">
        <v>34</v>
      </c>
      <c r="Z39" s="4" t="s">
        <v>54</v>
      </c>
      <c r="AA39" s="4" t="s">
        <v>34</v>
      </c>
      <c r="AB39" s="4" t="s">
        <v>34</v>
      </c>
      <c r="AC39" s="4" t="s">
        <v>57</v>
      </c>
      <c r="AD39" s="4" t="s">
        <v>53</v>
      </c>
      <c r="AE39" s="4" t="s">
        <v>34</v>
      </c>
      <c r="AF39" s="4" t="s">
        <v>34</v>
      </c>
      <c r="AG39" s="4"/>
      <c r="AH39" s="4"/>
      <c r="AI39" s="4"/>
    </row>
    <row r="40" ht="15.75" hidden="1" customHeight="1">
      <c r="A40" s="4" t="s">
        <v>99</v>
      </c>
      <c r="B40" s="12">
        <v>3.0</v>
      </c>
      <c r="C40" s="4" t="s">
        <v>33</v>
      </c>
      <c r="D40" s="4" t="s">
        <v>53</v>
      </c>
      <c r="E40" s="4" t="s">
        <v>53</v>
      </c>
      <c r="F40" s="9" t="b">
        <f t="shared" si="2"/>
        <v>1</v>
      </c>
      <c r="G40" s="9" t="str">
        <f t="shared" si="3"/>
        <v>Application</v>
      </c>
      <c r="H40" s="4"/>
      <c r="I40" s="4" t="s">
        <v>35</v>
      </c>
      <c r="J40" s="4" t="s">
        <v>48</v>
      </c>
      <c r="K40" s="4" t="s">
        <v>53</v>
      </c>
      <c r="L40" s="9" t="b">
        <f t="shared" ref="L40:M40" si="41">J40&lt;&gt;D40</f>
        <v>1</v>
      </c>
      <c r="M40" s="9" t="b">
        <f t="shared" si="41"/>
        <v>0</v>
      </c>
      <c r="N40" s="4" t="s">
        <v>38</v>
      </c>
      <c r="O40" s="4" t="s">
        <v>37</v>
      </c>
      <c r="P40" s="4" t="s">
        <v>91</v>
      </c>
      <c r="Q40" s="4"/>
      <c r="R40" s="4" t="s">
        <v>39</v>
      </c>
      <c r="S40" s="4" t="s">
        <v>39</v>
      </c>
      <c r="T40" s="4" t="s">
        <v>35</v>
      </c>
      <c r="U40" s="4" t="s">
        <v>35</v>
      </c>
      <c r="V40" s="4" t="s">
        <v>35</v>
      </c>
      <c r="W40" s="4" t="s">
        <v>43</v>
      </c>
      <c r="X40" s="4" t="s">
        <v>35</v>
      </c>
      <c r="Y40" s="4" t="s">
        <v>35</v>
      </c>
      <c r="Z40" s="4" t="s">
        <v>35</v>
      </c>
      <c r="AA40" s="4" t="s">
        <v>35</v>
      </c>
      <c r="AB40" s="4" t="s">
        <v>34</v>
      </c>
      <c r="AC40" s="4" t="s">
        <v>35</v>
      </c>
      <c r="AD40" s="4" t="s">
        <v>43</v>
      </c>
      <c r="AE40" s="4" t="s">
        <v>35</v>
      </c>
      <c r="AF40" s="4" t="s">
        <v>54</v>
      </c>
      <c r="AG40" s="4"/>
      <c r="AH40" s="4"/>
      <c r="AI40" s="4"/>
    </row>
    <row r="41" ht="15.75" hidden="1" customHeight="1">
      <c r="A41" s="4" t="s">
        <v>100</v>
      </c>
      <c r="B41" s="13">
        <v>4.0</v>
      </c>
      <c r="C41" s="4" t="s">
        <v>56</v>
      </c>
      <c r="D41" s="4" t="s">
        <v>53</v>
      </c>
      <c r="E41" s="4" t="s">
        <v>53</v>
      </c>
      <c r="F41" s="9" t="b">
        <f t="shared" si="2"/>
        <v>1</v>
      </c>
      <c r="G41" s="9" t="str">
        <f t="shared" si="3"/>
        <v>Application</v>
      </c>
      <c r="H41" s="4"/>
      <c r="I41" s="4" t="s">
        <v>53</v>
      </c>
      <c r="J41" s="4" t="s">
        <v>53</v>
      </c>
      <c r="K41" s="4" t="s">
        <v>53</v>
      </c>
      <c r="L41" s="9" t="b">
        <f t="shared" ref="L41:M41" si="42">J41&lt;&gt;D41</f>
        <v>0</v>
      </c>
      <c r="M41" s="9" t="b">
        <f t="shared" si="42"/>
        <v>0</v>
      </c>
      <c r="N41" s="4" t="s">
        <v>38</v>
      </c>
      <c r="O41" s="4" t="s">
        <v>38</v>
      </c>
      <c r="P41" s="4">
        <v>4.0</v>
      </c>
      <c r="Q41" s="4">
        <v>2.0</v>
      </c>
      <c r="R41" s="4" t="s">
        <v>39</v>
      </c>
      <c r="S41" s="4" t="s">
        <v>45</v>
      </c>
      <c r="T41" s="4" t="s">
        <v>53</v>
      </c>
      <c r="U41" s="4" t="s">
        <v>57</v>
      </c>
      <c r="V41" s="4" t="s">
        <v>57</v>
      </c>
      <c r="W41" s="4" t="s">
        <v>57</v>
      </c>
      <c r="X41" s="4" t="s">
        <v>57</v>
      </c>
      <c r="Y41" s="4" t="s">
        <v>57</v>
      </c>
      <c r="Z41" s="4" t="s">
        <v>53</v>
      </c>
      <c r="AA41" s="4" t="s">
        <v>53</v>
      </c>
      <c r="AB41" s="4" t="s">
        <v>57</v>
      </c>
      <c r="AC41" s="4" t="s">
        <v>57</v>
      </c>
      <c r="AD41" s="4" t="s">
        <v>57</v>
      </c>
      <c r="AE41" s="4" t="s">
        <v>57</v>
      </c>
      <c r="AF41" s="4" t="s">
        <v>57</v>
      </c>
      <c r="AG41" s="4"/>
      <c r="AH41" s="4"/>
      <c r="AI41" s="4"/>
    </row>
    <row r="42" ht="15.75" hidden="1" customHeight="1">
      <c r="A42" s="4" t="s">
        <v>101</v>
      </c>
      <c r="B42" s="5">
        <v>1.0</v>
      </c>
      <c r="C42" s="4" t="s">
        <v>50</v>
      </c>
      <c r="D42" s="4" t="s">
        <v>34</v>
      </c>
      <c r="E42" s="4" t="s">
        <v>34</v>
      </c>
      <c r="F42" s="9" t="b">
        <f t="shared" si="2"/>
        <v>1</v>
      </c>
      <c r="G42" s="9" t="str">
        <f t="shared" si="3"/>
        <v>Background</v>
      </c>
      <c r="H42" s="4"/>
      <c r="I42" s="4" t="s">
        <v>34</v>
      </c>
      <c r="J42" s="4" t="s">
        <v>34</v>
      </c>
      <c r="K42" s="4" t="s">
        <v>34</v>
      </c>
      <c r="L42" s="9" t="b">
        <f t="shared" ref="L42:M42" si="43">J42&lt;&gt;D42</f>
        <v>0</v>
      </c>
      <c r="M42" s="9" t="b">
        <f t="shared" si="43"/>
        <v>0</v>
      </c>
      <c r="N42" s="4" t="s">
        <v>38</v>
      </c>
      <c r="O42" s="4" t="s">
        <v>38</v>
      </c>
      <c r="P42" s="4" t="s">
        <v>44</v>
      </c>
      <c r="Q42" s="4">
        <v>6.0</v>
      </c>
      <c r="R42" s="4" t="s">
        <v>39</v>
      </c>
      <c r="S42" s="4" t="s">
        <v>39</v>
      </c>
      <c r="T42" s="4" t="s">
        <v>34</v>
      </c>
      <c r="U42" s="4" t="s">
        <v>34</v>
      </c>
      <c r="V42" s="4" t="s">
        <v>34</v>
      </c>
      <c r="W42" s="4" t="s">
        <v>34</v>
      </c>
      <c r="X42" s="4" t="s">
        <v>34</v>
      </c>
      <c r="Y42" s="4" t="s">
        <v>34</v>
      </c>
      <c r="Z42" s="4" t="s">
        <v>60</v>
      </c>
      <c r="AA42" s="4" t="s">
        <v>34</v>
      </c>
      <c r="AB42" s="4" t="s">
        <v>34</v>
      </c>
      <c r="AC42" s="4" t="s">
        <v>34</v>
      </c>
      <c r="AD42" s="4" t="s">
        <v>34</v>
      </c>
      <c r="AE42" s="4" t="s">
        <v>34</v>
      </c>
      <c r="AF42" s="4" t="s">
        <v>34</v>
      </c>
      <c r="AG42" s="4"/>
      <c r="AH42" s="4"/>
      <c r="AI42" s="4"/>
    </row>
    <row r="43" ht="15.75" customHeight="1">
      <c r="A43" s="4" t="s">
        <v>102</v>
      </c>
      <c r="B43" s="11">
        <v>2.0</v>
      </c>
      <c r="C43" s="17" t="s">
        <v>47</v>
      </c>
      <c r="D43" s="4" t="s">
        <v>35</v>
      </c>
      <c r="E43" s="6" t="s">
        <v>43</v>
      </c>
      <c r="F43" s="8" t="b">
        <f t="shared" si="2"/>
        <v>0</v>
      </c>
      <c r="G43" s="8" t="str">
        <f t="shared" si="3"/>
        <v>HARD</v>
      </c>
      <c r="H43" s="4" t="s">
        <v>103</v>
      </c>
      <c r="I43" s="6" t="s">
        <v>43</v>
      </c>
      <c r="J43" s="4" t="s">
        <v>35</v>
      </c>
      <c r="K43" s="4" t="s">
        <v>43</v>
      </c>
      <c r="L43" s="9" t="b">
        <f t="shared" ref="L43:M43" si="44">J43&lt;&gt;D43</f>
        <v>0</v>
      </c>
      <c r="M43" s="9" t="b">
        <f t="shared" si="44"/>
        <v>0</v>
      </c>
      <c r="N43" s="4" t="s">
        <v>38</v>
      </c>
      <c r="O43" s="4" t="s">
        <v>37</v>
      </c>
      <c r="P43" s="4">
        <v>1.0</v>
      </c>
      <c r="Q43" s="4">
        <v>6.0</v>
      </c>
      <c r="R43" s="4" t="s">
        <v>39</v>
      </c>
      <c r="S43" s="4" t="s">
        <v>45</v>
      </c>
      <c r="T43" s="4" t="s">
        <v>34</v>
      </c>
      <c r="U43" s="4" t="s">
        <v>34</v>
      </c>
      <c r="V43" s="4" t="s">
        <v>34</v>
      </c>
      <c r="W43" s="4" t="s">
        <v>34</v>
      </c>
      <c r="X43" s="18" t="s">
        <v>34</v>
      </c>
      <c r="Y43" s="18" t="s">
        <v>34</v>
      </c>
      <c r="Z43" s="4" t="s">
        <v>34</v>
      </c>
      <c r="AA43" s="4" t="s">
        <v>34</v>
      </c>
      <c r="AB43" s="4" t="s">
        <v>34</v>
      </c>
      <c r="AC43" s="4" t="s">
        <v>34</v>
      </c>
      <c r="AD43" s="4" t="s">
        <v>34</v>
      </c>
      <c r="AE43" s="18" t="s">
        <v>34</v>
      </c>
      <c r="AF43" s="18" t="s">
        <v>34</v>
      </c>
      <c r="AG43" s="19"/>
      <c r="AH43" s="19"/>
      <c r="AI43" s="19"/>
    </row>
    <row r="44" ht="15.75" customHeight="1">
      <c r="A44" s="4" t="s">
        <v>104</v>
      </c>
      <c r="B44" s="12">
        <v>3.0</v>
      </c>
      <c r="C44" s="4" t="s">
        <v>52</v>
      </c>
      <c r="D44" s="7" t="s">
        <v>53</v>
      </c>
      <c r="E44" s="4" t="s">
        <v>35</v>
      </c>
      <c r="F44" s="8" t="b">
        <f t="shared" si="2"/>
        <v>0</v>
      </c>
      <c r="G44" s="8" t="str">
        <f t="shared" si="3"/>
        <v>HARD</v>
      </c>
      <c r="H44" s="4" t="s">
        <v>36</v>
      </c>
      <c r="I44" s="7" t="s">
        <v>53</v>
      </c>
      <c r="J44" s="4" t="s">
        <v>53</v>
      </c>
      <c r="K44" s="4" t="s">
        <v>35</v>
      </c>
      <c r="L44" s="9" t="b">
        <f t="shared" ref="L44:M44" si="45">J44&lt;&gt;D44</f>
        <v>0</v>
      </c>
      <c r="M44" s="9" t="b">
        <f t="shared" si="45"/>
        <v>0</v>
      </c>
      <c r="N44" s="4" t="s">
        <v>38</v>
      </c>
      <c r="O44" s="4" t="s">
        <v>38</v>
      </c>
      <c r="P44" s="4" t="s">
        <v>105</v>
      </c>
      <c r="Q44" s="4">
        <v>2.0</v>
      </c>
      <c r="R44" s="4" t="s">
        <v>39</v>
      </c>
      <c r="S44" s="4" t="s">
        <v>39</v>
      </c>
      <c r="T44" s="4" t="s">
        <v>53</v>
      </c>
      <c r="U44" s="4" t="s">
        <v>53</v>
      </c>
      <c r="V44" s="4" t="s">
        <v>53</v>
      </c>
      <c r="W44" s="4" t="s">
        <v>53</v>
      </c>
      <c r="X44" s="7" t="s">
        <v>53</v>
      </c>
      <c r="Y44" s="7" t="s">
        <v>53</v>
      </c>
      <c r="Z44" s="4" t="s">
        <v>53</v>
      </c>
      <c r="AA44" s="4" t="s">
        <v>53</v>
      </c>
      <c r="AB44" s="4" t="s">
        <v>53</v>
      </c>
      <c r="AC44" s="4" t="s">
        <v>53</v>
      </c>
      <c r="AD44" s="4" t="s">
        <v>53</v>
      </c>
      <c r="AE44" s="7" t="s">
        <v>53</v>
      </c>
      <c r="AF44" s="7" t="s">
        <v>53</v>
      </c>
      <c r="AG44" s="20"/>
      <c r="AH44" s="20"/>
      <c r="AI44" s="20"/>
    </row>
    <row r="45" ht="15.75" hidden="1" customHeight="1">
      <c r="A45" s="4" t="s">
        <v>106</v>
      </c>
      <c r="B45" s="13">
        <v>4.0</v>
      </c>
      <c r="C45" s="4" t="s">
        <v>47</v>
      </c>
      <c r="D45" s="4" t="s">
        <v>40</v>
      </c>
      <c r="E45" s="4" t="s">
        <v>40</v>
      </c>
      <c r="F45" s="9" t="b">
        <f t="shared" si="2"/>
        <v>1</v>
      </c>
      <c r="G45" s="9" t="str">
        <f t="shared" si="3"/>
        <v>Gap</v>
      </c>
      <c r="H45" s="4"/>
      <c r="I45" s="4" t="s">
        <v>40</v>
      </c>
      <c r="J45" s="4" t="s">
        <v>40</v>
      </c>
      <c r="K45" s="4" t="s">
        <v>40</v>
      </c>
      <c r="L45" s="9" t="b">
        <f t="shared" ref="L45:M45" si="46">J45&lt;&gt;D45</f>
        <v>0</v>
      </c>
      <c r="M45" s="9" t="b">
        <f t="shared" si="46"/>
        <v>0</v>
      </c>
      <c r="N45" s="4" t="s">
        <v>37</v>
      </c>
      <c r="O45" s="4" t="s">
        <v>37</v>
      </c>
      <c r="P45" s="4">
        <v>7.0</v>
      </c>
      <c r="Q45" s="4">
        <v>4.0</v>
      </c>
      <c r="R45" s="4" t="s">
        <v>39</v>
      </c>
      <c r="S45" s="4" t="s">
        <v>45</v>
      </c>
      <c r="T45" s="4" t="s">
        <v>34</v>
      </c>
      <c r="U45" s="4" t="s">
        <v>34</v>
      </c>
      <c r="V45" s="4" t="s">
        <v>35</v>
      </c>
      <c r="W45" s="4" t="s">
        <v>34</v>
      </c>
      <c r="X45" s="4" t="s">
        <v>34</v>
      </c>
      <c r="Y45" s="4" t="s">
        <v>34</v>
      </c>
      <c r="Z45" s="4" t="s">
        <v>34</v>
      </c>
      <c r="AA45" s="4" t="s">
        <v>34</v>
      </c>
      <c r="AB45" s="4" t="s">
        <v>34</v>
      </c>
      <c r="AC45" s="4" t="s">
        <v>35</v>
      </c>
      <c r="AD45" s="4" t="s">
        <v>34</v>
      </c>
      <c r="AE45" s="4" t="s">
        <v>34</v>
      </c>
      <c r="AF45" s="4" t="s">
        <v>34</v>
      </c>
      <c r="AG45" s="4"/>
      <c r="AH45" s="4"/>
      <c r="AI45" s="4"/>
    </row>
    <row r="46" ht="15.75" customHeight="1">
      <c r="A46" s="4" t="s">
        <v>107</v>
      </c>
      <c r="B46" s="5">
        <v>1.0</v>
      </c>
      <c r="C46" s="4" t="s">
        <v>52</v>
      </c>
      <c r="D46" s="4" t="s">
        <v>43</v>
      </c>
      <c r="E46" s="6" t="s">
        <v>34</v>
      </c>
      <c r="F46" s="8" t="b">
        <f t="shared" si="2"/>
        <v>0</v>
      </c>
      <c r="G46" s="8" t="str">
        <f t="shared" si="3"/>
        <v>HARD</v>
      </c>
      <c r="H46" s="4" t="s">
        <v>103</v>
      </c>
      <c r="I46" s="6" t="s">
        <v>34</v>
      </c>
      <c r="J46" s="4" t="s">
        <v>43</v>
      </c>
      <c r="K46" s="4" t="s">
        <v>34</v>
      </c>
      <c r="L46" s="9" t="b">
        <f t="shared" ref="L46:M46" si="47">J46&lt;&gt;D46</f>
        <v>0</v>
      </c>
      <c r="M46" s="9" t="b">
        <f t="shared" si="47"/>
        <v>0</v>
      </c>
      <c r="N46" s="4" t="s">
        <v>38</v>
      </c>
      <c r="O46" s="4" t="s">
        <v>37</v>
      </c>
      <c r="P46" s="4" t="s">
        <v>44</v>
      </c>
      <c r="Q46" s="4">
        <v>6.0</v>
      </c>
      <c r="R46" s="4" t="s">
        <v>39</v>
      </c>
      <c r="S46" s="4" t="s">
        <v>39</v>
      </c>
      <c r="T46" s="4" t="s">
        <v>53</v>
      </c>
      <c r="U46" s="4" t="s">
        <v>34</v>
      </c>
      <c r="V46" s="4" t="s">
        <v>34</v>
      </c>
      <c r="W46" s="4" t="s">
        <v>34</v>
      </c>
      <c r="X46" s="6" t="s">
        <v>34</v>
      </c>
      <c r="Y46" s="6" t="s">
        <v>34</v>
      </c>
      <c r="Z46" s="4" t="s">
        <v>54</v>
      </c>
      <c r="AA46" s="4" t="s">
        <v>53</v>
      </c>
      <c r="AB46" s="4" t="s">
        <v>34</v>
      </c>
      <c r="AC46" s="4" t="s">
        <v>34</v>
      </c>
      <c r="AD46" s="4" t="s">
        <v>34</v>
      </c>
      <c r="AE46" s="6" t="s">
        <v>34</v>
      </c>
      <c r="AF46" s="6" t="s">
        <v>34</v>
      </c>
      <c r="AG46" s="10"/>
      <c r="AH46" s="10"/>
      <c r="AI46" s="10"/>
    </row>
    <row r="47" ht="15.75" hidden="1" customHeight="1">
      <c r="A47" s="4" t="s">
        <v>108</v>
      </c>
      <c r="B47" s="11">
        <v>2.0</v>
      </c>
      <c r="C47" s="4" t="s">
        <v>52</v>
      </c>
      <c r="D47" s="4" t="s">
        <v>34</v>
      </c>
      <c r="E47" s="4" t="s">
        <v>34</v>
      </c>
      <c r="F47" s="9" t="b">
        <f t="shared" si="2"/>
        <v>1</v>
      </c>
      <c r="G47" s="9" t="str">
        <f t="shared" si="3"/>
        <v>Background</v>
      </c>
      <c r="H47" s="4"/>
      <c r="I47" s="4" t="s">
        <v>34</v>
      </c>
      <c r="J47" s="4" t="s">
        <v>34</v>
      </c>
      <c r="K47" s="4" t="s">
        <v>34</v>
      </c>
      <c r="L47" s="9" t="b">
        <f t="shared" ref="L47:M47" si="48">J47&lt;&gt;D47</f>
        <v>0</v>
      </c>
      <c r="M47" s="9" t="b">
        <f t="shared" si="48"/>
        <v>0</v>
      </c>
      <c r="N47" s="4" t="s">
        <v>38</v>
      </c>
      <c r="O47" s="4" t="s">
        <v>38</v>
      </c>
      <c r="P47" s="4">
        <v>1.0</v>
      </c>
      <c r="Q47" s="4">
        <v>2.0</v>
      </c>
      <c r="R47" s="4" t="s">
        <v>39</v>
      </c>
      <c r="S47" s="4" t="s">
        <v>45</v>
      </c>
      <c r="T47" s="4" t="s">
        <v>34</v>
      </c>
      <c r="U47" s="4" t="s">
        <v>34</v>
      </c>
      <c r="V47" s="4" t="s">
        <v>34</v>
      </c>
      <c r="W47" s="4" t="s">
        <v>34</v>
      </c>
      <c r="X47" s="4" t="s">
        <v>34</v>
      </c>
      <c r="Y47" s="4" t="s">
        <v>34</v>
      </c>
      <c r="Z47" s="4" t="s">
        <v>34</v>
      </c>
      <c r="AA47" s="4" t="s">
        <v>34</v>
      </c>
      <c r="AB47" s="4" t="s">
        <v>34</v>
      </c>
      <c r="AC47" s="4" t="s">
        <v>34</v>
      </c>
      <c r="AD47" s="4" t="s">
        <v>34</v>
      </c>
      <c r="AE47" s="4" t="s">
        <v>34</v>
      </c>
      <c r="AF47" s="4" t="s">
        <v>34</v>
      </c>
      <c r="AG47" s="4"/>
      <c r="AH47" s="4"/>
      <c r="AI47" s="4"/>
    </row>
    <row r="48" ht="15.75" hidden="1" customHeight="1">
      <c r="A48" s="4" t="s">
        <v>109</v>
      </c>
      <c r="B48" s="12">
        <v>3.0</v>
      </c>
      <c r="C48" s="4" t="s">
        <v>71</v>
      </c>
      <c r="D48" s="4" t="s">
        <v>72</v>
      </c>
      <c r="E48" s="4" t="s">
        <v>72</v>
      </c>
      <c r="F48" s="9" t="b">
        <f t="shared" si="2"/>
        <v>1</v>
      </c>
      <c r="G48" s="9" t="str">
        <f t="shared" si="3"/>
        <v>Identification of the Originator</v>
      </c>
      <c r="H48" s="4"/>
      <c r="I48" s="4" t="s">
        <v>72</v>
      </c>
      <c r="J48" s="4" t="s">
        <v>72</v>
      </c>
      <c r="K48" s="4" t="s">
        <v>72</v>
      </c>
      <c r="L48" s="9" t="b">
        <f t="shared" ref="L48:M48" si="49">J48&lt;&gt;D48</f>
        <v>0</v>
      </c>
      <c r="M48" s="9" t="b">
        <f t="shared" si="49"/>
        <v>0</v>
      </c>
      <c r="N48" s="4" t="s">
        <v>38</v>
      </c>
      <c r="O48" s="4" t="s">
        <v>38</v>
      </c>
      <c r="P48" s="4" t="s">
        <v>110</v>
      </c>
      <c r="Q48" s="4">
        <v>2.0</v>
      </c>
      <c r="R48" s="4" t="s">
        <v>39</v>
      </c>
      <c r="S48" s="4" t="s">
        <v>39</v>
      </c>
      <c r="T48" s="4" t="s">
        <v>72</v>
      </c>
      <c r="U48" s="4" t="s">
        <v>72</v>
      </c>
      <c r="V48" s="4" t="s">
        <v>72</v>
      </c>
      <c r="W48" s="4" t="s">
        <v>72</v>
      </c>
      <c r="X48" s="4" t="s">
        <v>72</v>
      </c>
      <c r="Y48" s="4" t="s">
        <v>72</v>
      </c>
      <c r="Z48" s="4" t="s">
        <v>72</v>
      </c>
      <c r="AA48" s="4" t="s">
        <v>72</v>
      </c>
      <c r="AB48" s="4" t="s">
        <v>72</v>
      </c>
      <c r="AC48" s="4" t="s">
        <v>72</v>
      </c>
      <c r="AD48" s="4" t="s">
        <v>72</v>
      </c>
      <c r="AE48" s="4" t="s">
        <v>72</v>
      </c>
      <c r="AF48" s="4" t="s">
        <v>72</v>
      </c>
      <c r="AG48" s="4"/>
      <c r="AH48" s="4"/>
      <c r="AI48" s="4"/>
    </row>
    <row r="49" ht="15.75" customHeight="1">
      <c r="A49" s="4" t="s">
        <v>111</v>
      </c>
      <c r="B49" s="13">
        <v>4.0</v>
      </c>
      <c r="C49" s="6" t="s">
        <v>56</v>
      </c>
      <c r="D49" s="6" t="s">
        <v>57</v>
      </c>
      <c r="E49" s="16" t="s">
        <v>53</v>
      </c>
      <c r="F49" s="8" t="b">
        <f t="shared" si="2"/>
        <v>0</v>
      </c>
      <c r="G49" s="8" t="str">
        <f t="shared" si="3"/>
        <v>HARD</v>
      </c>
      <c r="H49" s="4" t="s">
        <v>58</v>
      </c>
      <c r="I49" s="16" t="s">
        <v>53</v>
      </c>
      <c r="J49" s="4" t="s">
        <v>57</v>
      </c>
      <c r="K49" s="4" t="s">
        <v>53</v>
      </c>
      <c r="L49" s="9" t="b">
        <f t="shared" ref="L49:M49" si="50">J49&lt;&gt;D49</f>
        <v>0</v>
      </c>
      <c r="M49" s="9" t="b">
        <f t="shared" si="50"/>
        <v>0</v>
      </c>
      <c r="N49" s="4" t="s">
        <v>38</v>
      </c>
      <c r="O49" s="4" t="s">
        <v>38</v>
      </c>
      <c r="P49" s="4"/>
      <c r="Q49" s="4">
        <v>2.0</v>
      </c>
      <c r="R49" s="4" t="s">
        <v>45</v>
      </c>
      <c r="S49" s="4" t="s">
        <v>45</v>
      </c>
      <c r="T49" s="6" t="s">
        <v>57</v>
      </c>
      <c r="U49" s="6" t="s">
        <v>57</v>
      </c>
      <c r="V49" s="16" t="s">
        <v>53</v>
      </c>
      <c r="W49" s="6" t="s">
        <v>57</v>
      </c>
      <c r="X49" s="6" t="s">
        <v>57</v>
      </c>
      <c r="Y49" s="6" t="s">
        <v>57</v>
      </c>
      <c r="Z49" s="4" t="s">
        <v>53</v>
      </c>
      <c r="AA49" s="6" t="s">
        <v>57</v>
      </c>
      <c r="AB49" s="6" t="s">
        <v>57</v>
      </c>
      <c r="AC49" s="4" t="s">
        <v>53</v>
      </c>
      <c r="AD49" s="6" t="s">
        <v>57</v>
      </c>
      <c r="AE49" s="16" t="s">
        <v>57</v>
      </c>
      <c r="AF49" s="16" t="s">
        <v>57</v>
      </c>
      <c r="AG49" s="15"/>
      <c r="AH49" s="15"/>
      <c r="AI49" s="15"/>
    </row>
    <row r="50" ht="15.75" hidden="1" customHeight="1">
      <c r="A50" s="4" t="s">
        <v>112</v>
      </c>
      <c r="B50" s="5">
        <v>1.0</v>
      </c>
      <c r="C50" s="4" t="s">
        <v>42</v>
      </c>
      <c r="D50" s="4" t="s">
        <v>34</v>
      </c>
      <c r="E50" s="4" t="s">
        <v>34</v>
      </c>
      <c r="F50" s="9" t="b">
        <f t="shared" si="2"/>
        <v>1</v>
      </c>
      <c r="G50" s="9" t="str">
        <f t="shared" si="3"/>
        <v>Background</v>
      </c>
      <c r="H50" s="4"/>
      <c r="I50" s="4" t="s">
        <v>34</v>
      </c>
      <c r="J50" s="4" t="s">
        <v>34</v>
      </c>
      <c r="K50" s="4" t="s">
        <v>34</v>
      </c>
      <c r="L50" s="9" t="b">
        <f t="shared" ref="L50:M50" si="51">J50&lt;&gt;D50</f>
        <v>0</v>
      </c>
      <c r="M50" s="9" t="b">
        <f t="shared" si="51"/>
        <v>0</v>
      </c>
      <c r="N50" s="4" t="s">
        <v>37</v>
      </c>
      <c r="O50" s="4" t="s">
        <v>37</v>
      </c>
      <c r="P50" s="4">
        <v>3.0</v>
      </c>
      <c r="Q50" s="4">
        <v>5.0</v>
      </c>
      <c r="R50" s="4" t="s">
        <v>39</v>
      </c>
      <c r="S50" s="4" t="s">
        <v>39</v>
      </c>
      <c r="T50" s="4" t="s">
        <v>34</v>
      </c>
      <c r="U50" s="4" t="s">
        <v>34</v>
      </c>
      <c r="V50" s="4" t="s">
        <v>34</v>
      </c>
      <c r="W50" s="4" t="s">
        <v>34</v>
      </c>
      <c r="X50" s="4" t="s">
        <v>34</v>
      </c>
      <c r="Y50" s="4" t="s">
        <v>34</v>
      </c>
      <c r="Z50" s="4" t="s">
        <v>34</v>
      </c>
      <c r="AA50" s="4" t="s">
        <v>34</v>
      </c>
      <c r="AB50" s="4" t="s">
        <v>34</v>
      </c>
      <c r="AC50" s="4" t="s">
        <v>34</v>
      </c>
      <c r="AD50" s="4" t="s">
        <v>34</v>
      </c>
      <c r="AE50" s="4" t="s">
        <v>34</v>
      </c>
      <c r="AF50" s="4" t="s">
        <v>34</v>
      </c>
      <c r="AG50" s="4"/>
      <c r="AH50" s="4"/>
      <c r="AI50" s="4"/>
    </row>
    <row r="51" ht="15.75" customHeight="1">
      <c r="A51" s="4" t="s">
        <v>113</v>
      </c>
      <c r="B51" s="11">
        <v>2.0</v>
      </c>
      <c r="C51" s="4" t="s">
        <v>52</v>
      </c>
      <c r="D51" s="7" t="s">
        <v>40</v>
      </c>
      <c r="E51" s="6" t="s">
        <v>34</v>
      </c>
      <c r="F51" s="8" t="b">
        <f t="shared" si="2"/>
        <v>0</v>
      </c>
      <c r="G51" s="8" t="str">
        <f t="shared" si="3"/>
        <v>HARD</v>
      </c>
      <c r="H51" s="4" t="s">
        <v>114</v>
      </c>
      <c r="I51" s="7" t="s">
        <v>40</v>
      </c>
      <c r="J51" s="4" t="s">
        <v>40</v>
      </c>
      <c r="K51" s="4" t="s">
        <v>34</v>
      </c>
      <c r="L51" s="9" t="b">
        <f t="shared" ref="L51:M51" si="52">J51&lt;&gt;D51</f>
        <v>0</v>
      </c>
      <c r="M51" s="9" t="b">
        <f t="shared" si="52"/>
        <v>0</v>
      </c>
      <c r="N51" s="4" t="s">
        <v>37</v>
      </c>
      <c r="O51" s="4" t="s">
        <v>37</v>
      </c>
      <c r="P51" s="4">
        <v>1.0</v>
      </c>
      <c r="Q51" s="4">
        <v>5.0</v>
      </c>
      <c r="R51" s="4" t="s">
        <v>39</v>
      </c>
      <c r="S51" s="4" t="s">
        <v>45</v>
      </c>
      <c r="T51" s="6" t="s">
        <v>34</v>
      </c>
      <c r="U51" s="6" t="s">
        <v>34</v>
      </c>
      <c r="V51" s="6" t="s">
        <v>34</v>
      </c>
      <c r="W51" s="6" t="s">
        <v>34</v>
      </c>
      <c r="X51" s="6" t="s">
        <v>34</v>
      </c>
      <c r="Y51" s="6" t="s">
        <v>34</v>
      </c>
      <c r="Z51" s="6" t="s">
        <v>34</v>
      </c>
      <c r="AA51" s="6" t="s">
        <v>34</v>
      </c>
      <c r="AB51" s="6" t="s">
        <v>34</v>
      </c>
      <c r="AC51" s="6" t="s">
        <v>34</v>
      </c>
      <c r="AD51" s="6" t="s">
        <v>34</v>
      </c>
      <c r="AE51" s="6" t="s">
        <v>34</v>
      </c>
      <c r="AF51" s="6" t="s">
        <v>34</v>
      </c>
      <c r="AG51" s="15"/>
      <c r="AH51" s="15"/>
      <c r="AI51" s="15"/>
    </row>
    <row r="52" ht="15.75" hidden="1" customHeight="1">
      <c r="A52" s="4" t="s">
        <v>115</v>
      </c>
      <c r="B52" s="12">
        <v>3.0</v>
      </c>
      <c r="C52" s="4" t="s">
        <v>50</v>
      </c>
      <c r="D52" s="4" t="s">
        <v>60</v>
      </c>
      <c r="E52" s="4" t="s">
        <v>60</v>
      </c>
      <c r="F52" s="9" t="b">
        <f t="shared" si="2"/>
        <v>1</v>
      </c>
      <c r="G52" s="9" t="str">
        <f t="shared" si="3"/>
        <v>Basis</v>
      </c>
      <c r="H52" s="4"/>
      <c r="I52" s="4" t="s">
        <v>35</v>
      </c>
      <c r="J52" s="4" t="s">
        <v>35</v>
      </c>
      <c r="K52" s="4" t="s">
        <v>60</v>
      </c>
      <c r="L52" s="9" t="b">
        <f t="shared" ref="L52:M52" si="53">J52&lt;&gt;D52</f>
        <v>1</v>
      </c>
      <c r="M52" s="9" t="b">
        <f t="shared" si="53"/>
        <v>0</v>
      </c>
      <c r="N52" s="4" t="s">
        <v>38</v>
      </c>
      <c r="O52" s="4" t="s">
        <v>38</v>
      </c>
      <c r="P52" s="4" t="s">
        <v>91</v>
      </c>
      <c r="Q52" s="4"/>
      <c r="R52" s="4" t="s">
        <v>39</v>
      </c>
      <c r="S52" s="4" t="s">
        <v>39</v>
      </c>
      <c r="T52" s="4" t="s">
        <v>35</v>
      </c>
      <c r="U52" s="4" t="s">
        <v>34</v>
      </c>
      <c r="V52" s="4" t="s">
        <v>35</v>
      </c>
      <c r="W52" s="4" t="s">
        <v>34</v>
      </c>
      <c r="X52" s="4" t="s">
        <v>35</v>
      </c>
      <c r="Y52" s="4" t="s">
        <v>34</v>
      </c>
      <c r="Z52" s="4" t="s">
        <v>34</v>
      </c>
      <c r="AA52" s="4" t="s">
        <v>35</v>
      </c>
      <c r="AB52" s="4" t="s">
        <v>34</v>
      </c>
      <c r="AC52" s="4" t="s">
        <v>35</v>
      </c>
      <c r="AD52" s="4" t="s">
        <v>34</v>
      </c>
      <c r="AE52" s="4" t="s">
        <v>35</v>
      </c>
      <c r="AF52" s="4" t="s">
        <v>34</v>
      </c>
      <c r="AG52" s="4"/>
      <c r="AH52" s="4"/>
      <c r="AI52" s="4"/>
    </row>
    <row r="53" ht="15.75" customHeight="1">
      <c r="A53" s="4" t="s">
        <v>116</v>
      </c>
      <c r="B53" s="13">
        <v>4.0</v>
      </c>
      <c r="C53" s="17" t="s">
        <v>47</v>
      </c>
      <c r="D53" s="6" t="s">
        <v>34</v>
      </c>
      <c r="E53" s="16" t="s">
        <v>40</v>
      </c>
      <c r="F53" s="8" t="b">
        <f t="shared" si="2"/>
        <v>0</v>
      </c>
      <c r="G53" s="8" t="str">
        <f t="shared" si="3"/>
        <v>HARD</v>
      </c>
      <c r="H53" s="4" t="s">
        <v>114</v>
      </c>
      <c r="I53" s="16" t="s">
        <v>40</v>
      </c>
      <c r="J53" s="4" t="s">
        <v>34</v>
      </c>
      <c r="K53" s="4" t="s">
        <v>40</v>
      </c>
      <c r="L53" s="9" t="b">
        <f t="shared" ref="L53:M53" si="54">J53&lt;&gt;D53</f>
        <v>0</v>
      </c>
      <c r="M53" s="9" t="b">
        <f t="shared" si="54"/>
        <v>0</v>
      </c>
      <c r="N53" s="4" t="s">
        <v>38</v>
      </c>
      <c r="O53" s="4" t="s">
        <v>37</v>
      </c>
      <c r="P53" s="4">
        <v>4.0</v>
      </c>
      <c r="Q53" s="4">
        <v>2.0</v>
      </c>
      <c r="R53" s="4" t="s">
        <v>45</v>
      </c>
      <c r="S53" s="4" t="s">
        <v>45</v>
      </c>
      <c r="T53" s="6" t="s">
        <v>34</v>
      </c>
      <c r="U53" s="6" t="s">
        <v>34</v>
      </c>
      <c r="V53" s="6" t="s">
        <v>34</v>
      </c>
      <c r="W53" s="6" t="s">
        <v>34</v>
      </c>
      <c r="X53" s="6" t="s">
        <v>34</v>
      </c>
      <c r="Y53" s="6" t="s">
        <v>34</v>
      </c>
      <c r="Z53" s="6" t="s">
        <v>34</v>
      </c>
      <c r="AA53" s="6" t="s">
        <v>34</v>
      </c>
      <c r="AB53" s="6" t="s">
        <v>34</v>
      </c>
      <c r="AC53" s="6" t="s">
        <v>34</v>
      </c>
      <c r="AD53" s="6" t="s">
        <v>34</v>
      </c>
      <c r="AE53" s="6" t="s">
        <v>34</v>
      </c>
      <c r="AF53" s="6" t="s">
        <v>34</v>
      </c>
      <c r="AG53" s="6"/>
      <c r="AH53" s="6"/>
      <c r="AI53" s="6"/>
    </row>
    <row r="54" ht="15.75" hidden="1" customHeight="1">
      <c r="A54" s="4" t="s">
        <v>117</v>
      </c>
      <c r="B54" s="5">
        <v>1.0</v>
      </c>
      <c r="C54" s="4" t="s">
        <v>56</v>
      </c>
      <c r="D54" s="4" t="s">
        <v>57</v>
      </c>
      <c r="E54" s="4" t="s">
        <v>57</v>
      </c>
      <c r="F54" s="9" t="b">
        <f t="shared" si="2"/>
        <v>1</v>
      </c>
      <c r="G54" s="9" t="str">
        <f t="shared" si="3"/>
        <v>Improvement/Modification</v>
      </c>
      <c r="H54" s="4"/>
      <c r="I54" s="4" t="s">
        <v>57</v>
      </c>
      <c r="J54" s="4" t="s">
        <v>57</v>
      </c>
      <c r="K54" s="4" t="s">
        <v>57</v>
      </c>
      <c r="L54" s="9" t="b">
        <f t="shared" ref="L54:M54" si="55">J54&lt;&gt;D54</f>
        <v>0</v>
      </c>
      <c r="M54" s="9" t="b">
        <f t="shared" si="55"/>
        <v>0</v>
      </c>
      <c r="N54" s="4" t="s">
        <v>38</v>
      </c>
      <c r="O54" s="4" t="s">
        <v>37</v>
      </c>
      <c r="P54" s="4" t="s">
        <v>44</v>
      </c>
      <c r="Q54" s="4">
        <v>6.5</v>
      </c>
      <c r="R54" s="4" t="s">
        <v>39</v>
      </c>
      <c r="S54" s="4" t="s">
        <v>39</v>
      </c>
      <c r="T54" s="4" t="s">
        <v>57</v>
      </c>
      <c r="U54" s="4" t="s">
        <v>57</v>
      </c>
      <c r="V54" s="4" t="s">
        <v>57</v>
      </c>
      <c r="W54" s="4" t="s">
        <v>53</v>
      </c>
      <c r="X54" s="4" t="s">
        <v>57</v>
      </c>
      <c r="Y54" s="4" t="s">
        <v>57</v>
      </c>
      <c r="Z54" s="4" t="s">
        <v>53</v>
      </c>
      <c r="AA54" s="4" t="s">
        <v>57</v>
      </c>
      <c r="AB54" s="4" t="s">
        <v>57</v>
      </c>
      <c r="AC54" s="4" t="s">
        <v>57</v>
      </c>
      <c r="AD54" s="4" t="s">
        <v>53</v>
      </c>
      <c r="AE54" s="4" t="s">
        <v>57</v>
      </c>
      <c r="AF54" s="4" t="s">
        <v>57</v>
      </c>
      <c r="AG54" s="4"/>
      <c r="AH54" s="4"/>
      <c r="AI54" s="4"/>
    </row>
    <row r="55" ht="15.75" hidden="1" customHeight="1">
      <c r="A55" s="4" t="s">
        <v>118</v>
      </c>
      <c r="B55" s="11">
        <v>2.0</v>
      </c>
      <c r="C55" s="4" t="s">
        <v>42</v>
      </c>
      <c r="D55" s="4" t="s">
        <v>43</v>
      </c>
      <c r="E55" s="4" t="s">
        <v>43</v>
      </c>
      <c r="F55" s="9" t="b">
        <f t="shared" si="2"/>
        <v>1</v>
      </c>
      <c r="G55" s="9" t="str">
        <f t="shared" si="3"/>
        <v>Comparison</v>
      </c>
      <c r="H55" s="4"/>
      <c r="I55" s="4" t="s">
        <v>43</v>
      </c>
      <c r="J55" s="4" t="s">
        <v>43</v>
      </c>
      <c r="K55" s="4" t="s">
        <v>43</v>
      </c>
      <c r="L55" s="9" t="b">
        <f t="shared" ref="L55:M55" si="56">J55&lt;&gt;D55</f>
        <v>0</v>
      </c>
      <c r="M55" s="9" t="b">
        <f t="shared" si="56"/>
        <v>0</v>
      </c>
      <c r="N55" s="4" t="s">
        <v>38</v>
      </c>
      <c r="O55" s="4" t="s">
        <v>38</v>
      </c>
      <c r="P55" s="4">
        <v>1.0</v>
      </c>
      <c r="Q55" s="4">
        <v>2.0</v>
      </c>
      <c r="R55" s="4" t="s">
        <v>39</v>
      </c>
      <c r="S55" s="4" t="s">
        <v>45</v>
      </c>
      <c r="T55" s="4" t="s">
        <v>43</v>
      </c>
      <c r="U55" s="4" t="s">
        <v>43</v>
      </c>
      <c r="V55" s="4" t="s">
        <v>43</v>
      </c>
      <c r="W55" s="4" t="s">
        <v>43</v>
      </c>
      <c r="X55" s="4" t="s">
        <v>43</v>
      </c>
      <c r="Y55" s="4" t="s">
        <v>43</v>
      </c>
      <c r="Z55" s="4" t="s">
        <v>43</v>
      </c>
      <c r="AA55" s="4" t="s">
        <v>43</v>
      </c>
      <c r="AB55" s="4" t="s">
        <v>43</v>
      </c>
      <c r="AC55" s="4" t="s">
        <v>43</v>
      </c>
      <c r="AD55" s="4" t="s">
        <v>43</v>
      </c>
      <c r="AE55" s="4" t="s">
        <v>43</v>
      </c>
      <c r="AF55" s="4" t="s">
        <v>43</v>
      </c>
      <c r="AG55" s="4"/>
      <c r="AH55" s="4"/>
      <c r="AI55" s="4"/>
    </row>
    <row r="56" ht="15.75" hidden="1" customHeight="1">
      <c r="A56" s="4" t="s">
        <v>119</v>
      </c>
      <c r="B56" s="12">
        <v>3.0</v>
      </c>
      <c r="C56" s="4" t="s">
        <v>52</v>
      </c>
      <c r="D56" s="4" t="s">
        <v>34</v>
      </c>
      <c r="E56" s="4" t="s">
        <v>34</v>
      </c>
      <c r="F56" s="9" t="b">
        <f t="shared" si="2"/>
        <v>1</v>
      </c>
      <c r="G56" s="9" t="str">
        <f t="shared" si="3"/>
        <v>Background</v>
      </c>
      <c r="H56" s="4"/>
      <c r="I56" s="4" t="s">
        <v>34</v>
      </c>
      <c r="J56" s="4" t="s">
        <v>35</v>
      </c>
      <c r="K56" s="4" t="s">
        <v>34</v>
      </c>
      <c r="L56" s="9" t="b">
        <f t="shared" ref="L56:M56" si="57">J56&lt;&gt;D56</f>
        <v>1</v>
      </c>
      <c r="M56" s="9" t="b">
        <f t="shared" si="57"/>
        <v>0</v>
      </c>
      <c r="N56" s="4" t="s">
        <v>38</v>
      </c>
      <c r="O56" s="4" t="s">
        <v>38</v>
      </c>
      <c r="P56" s="4" t="s">
        <v>91</v>
      </c>
      <c r="Q56" s="4"/>
      <c r="R56" s="4" t="s">
        <v>39</v>
      </c>
      <c r="S56" s="4" t="s">
        <v>39</v>
      </c>
      <c r="T56" s="4" t="s">
        <v>34</v>
      </c>
      <c r="U56" s="4" t="s">
        <v>34</v>
      </c>
      <c r="V56" s="4" t="s">
        <v>34</v>
      </c>
      <c r="W56" s="4" t="s">
        <v>34</v>
      </c>
      <c r="X56" s="4" t="s">
        <v>34</v>
      </c>
      <c r="Y56" s="4" t="s">
        <v>34</v>
      </c>
      <c r="Z56" s="4" t="s">
        <v>34</v>
      </c>
      <c r="AA56" s="4" t="s">
        <v>34</v>
      </c>
      <c r="AB56" s="4" t="s">
        <v>34</v>
      </c>
      <c r="AC56" s="4" t="s">
        <v>34</v>
      </c>
      <c r="AD56" s="4" t="s">
        <v>34</v>
      </c>
      <c r="AE56" s="4" t="s">
        <v>34</v>
      </c>
      <c r="AF56" s="4" t="s">
        <v>34</v>
      </c>
      <c r="AG56" s="4"/>
      <c r="AH56" s="4"/>
      <c r="AI56" s="4"/>
    </row>
    <row r="57" ht="15.75" customHeight="1">
      <c r="A57" s="4" t="s">
        <v>120</v>
      </c>
      <c r="B57" s="13">
        <v>4.0</v>
      </c>
      <c r="C57" s="4" t="s">
        <v>50</v>
      </c>
      <c r="D57" s="4" t="s">
        <v>43</v>
      </c>
      <c r="E57" s="6" t="s">
        <v>34</v>
      </c>
      <c r="F57" s="8" t="b">
        <f t="shared" si="2"/>
        <v>0</v>
      </c>
      <c r="G57" s="8" t="str">
        <f t="shared" si="3"/>
        <v>HARD</v>
      </c>
      <c r="H57" s="4" t="s">
        <v>103</v>
      </c>
      <c r="I57" s="6" t="s">
        <v>34</v>
      </c>
      <c r="J57" s="4" t="s">
        <v>43</v>
      </c>
      <c r="K57" s="4" t="s">
        <v>34</v>
      </c>
      <c r="L57" s="9" t="b">
        <f t="shared" ref="L57:M57" si="58">J57&lt;&gt;D57</f>
        <v>0</v>
      </c>
      <c r="M57" s="9" t="b">
        <f t="shared" si="58"/>
        <v>0</v>
      </c>
      <c r="N57" s="4" t="s">
        <v>37</v>
      </c>
      <c r="O57" s="4" t="s">
        <v>37</v>
      </c>
      <c r="P57" s="4">
        <v>4.0</v>
      </c>
      <c r="Q57" s="4">
        <v>3.0</v>
      </c>
      <c r="R57" s="4" t="s">
        <v>45</v>
      </c>
      <c r="S57" s="4" t="s">
        <v>45</v>
      </c>
      <c r="T57" s="4" t="s">
        <v>34</v>
      </c>
      <c r="U57" s="4" t="s">
        <v>34</v>
      </c>
      <c r="V57" s="4" t="s">
        <v>34</v>
      </c>
      <c r="W57" s="4" t="s">
        <v>34</v>
      </c>
      <c r="X57" s="6" t="s">
        <v>34</v>
      </c>
      <c r="Y57" s="6" t="s">
        <v>34</v>
      </c>
      <c r="Z57" s="4" t="s">
        <v>54</v>
      </c>
      <c r="AA57" s="4" t="s">
        <v>34</v>
      </c>
      <c r="AB57" s="4" t="s">
        <v>34</v>
      </c>
      <c r="AC57" s="4" t="s">
        <v>43</v>
      </c>
      <c r="AD57" s="4" t="s">
        <v>34</v>
      </c>
      <c r="AE57" s="6" t="s">
        <v>34</v>
      </c>
      <c r="AF57" s="6" t="s">
        <v>34</v>
      </c>
      <c r="AG57" s="10"/>
      <c r="AH57" s="10"/>
      <c r="AI57" s="10"/>
    </row>
    <row r="58" ht="15.75" hidden="1" customHeight="1">
      <c r="A58" s="4" t="s">
        <v>121</v>
      </c>
      <c r="B58" s="5">
        <v>1.0</v>
      </c>
      <c r="C58" s="4" t="s">
        <v>56</v>
      </c>
      <c r="D58" s="4" t="s">
        <v>57</v>
      </c>
      <c r="E58" s="4" t="s">
        <v>57</v>
      </c>
      <c r="F58" s="9" t="b">
        <f t="shared" si="2"/>
        <v>1</v>
      </c>
      <c r="G58" s="9" t="str">
        <f t="shared" si="3"/>
        <v>Improvement/Modification</v>
      </c>
      <c r="H58" s="4"/>
      <c r="I58" s="4" t="s">
        <v>57</v>
      </c>
      <c r="J58" s="4" t="s">
        <v>57</v>
      </c>
      <c r="K58" s="4" t="s">
        <v>57</v>
      </c>
      <c r="L58" s="9" t="b">
        <f t="shared" ref="L58:M58" si="59">J58&lt;&gt;D58</f>
        <v>0</v>
      </c>
      <c r="M58" s="9" t="b">
        <f t="shared" si="59"/>
        <v>0</v>
      </c>
      <c r="N58" s="4" t="s">
        <v>38</v>
      </c>
      <c r="O58" s="4" t="s">
        <v>37</v>
      </c>
      <c r="P58" s="4" t="s">
        <v>44</v>
      </c>
      <c r="Q58" s="4">
        <v>5.5</v>
      </c>
      <c r="R58" s="4" t="s">
        <v>39</v>
      </c>
      <c r="S58" s="4" t="s">
        <v>39</v>
      </c>
      <c r="T58" s="4" t="s">
        <v>57</v>
      </c>
      <c r="U58" s="4" t="s">
        <v>57</v>
      </c>
      <c r="V58" s="4" t="s">
        <v>57</v>
      </c>
      <c r="W58" s="4" t="s">
        <v>57</v>
      </c>
      <c r="X58" s="4" t="s">
        <v>57</v>
      </c>
      <c r="Y58" s="4" t="s">
        <v>57</v>
      </c>
      <c r="Z58" s="4" t="s">
        <v>54</v>
      </c>
      <c r="AA58" s="4" t="s">
        <v>57</v>
      </c>
      <c r="AB58" s="4" t="s">
        <v>57</v>
      </c>
      <c r="AC58" s="4" t="s">
        <v>57</v>
      </c>
      <c r="AD58" s="4" t="s">
        <v>57</v>
      </c>
      <c r="AE58" s="4" t="s">
        <v>57</v>
      </c>
      <c r="AF58" s="4" t="s">
        <v>57</v>
      </c>
      <c r="AG58" s="4"/>
      <c r="AH58" s="4"/>
      <c r="AI58" s="4"/>
    </row>
    <row r="59" ht="15.75" hidden="1" customHeight="1">
      <c r="A59" s="4" t="s">
        <v>122</v>
      </c>
      <c r="B59" s="11">
        <v>2.0</v>
      </c>
      <c r="C59" s="4" t="s">
        <v>50</v>
      </c>
      <c r="D59" s="4" t="s">
        <v>40</v>
      </c>
      <c r="E59" s="4" t="s">
        <v>40</v>
      </c>
      <c r="F59" s="9" t="b">
        <f t="shared" si="2"/>
        <v>1</v>
      </c>
      <c r="G59" s="9" t="str">
        <f t="shared" si="3"/>
        <v>Gap</v>
      </c>
      <c r="H59" s="4"/>
      <c r="I59" s="4" t="s">
        <v>40</v>
      </c>
      <c r="J59" s="4" t="s">
        <v>40</v>
      </c>
      <c r="K59" s="4" t="s">
        <v>40</v>
      </c>
      <c r="L59" s="9" t="b">
        <f t="shared" ref="L59:M59" si="60">J59&lt;&gt;D59</f>
        <v>0</v>
      </c>
      <c r="M59" s="9" t="b">
        <f t="shared" si="60"/>
        <v>0</v>
      </c>
      <c r="N59" s="4" t="s">
        <v>37</v>
      </c>
      <c r="O59" s="4" t="s">
        <v>37</v>
      </c>
      <c r="P59" s="4">
        <v>3.0</v>
      </c>
      <c r="Q59" s="4">
        <v>5.0</v>
      </c>
      <c r="R59" s="4" t="s">
        <v>39</v>
      </c>
      <c r="S59" s="4" t="s">
        <v>45</v>
      </c>
      <c r="T59" s="4" t="s">
        <v>40</v>
      </c>
      <c r="U59" s="4" t="s">
        <v>34</v>
      </c>
      <c r="V59" s="4" t="s">
        <v>34</v>
      </c>
      <c r="W59" s="4" t="s">
        <v>34</v>
      </c>
      <c r="X59" s="4" t="s">
        <v>34</v>
      </c>
      <c r="Y59" s="4" t="s">
        <v>34</v>
      </c>
      <c r="Z59" s="4" t="s">
        <v>34</v>
      </c>
      <c r="AA59" s="4" t="s">
        <v>40</v>
      </c>
      <c r="AB59" s="4" t="s">
        <v>34</v>
      </c>
      <c r="AC59" s="4" t="s">
        <v>34</v>
      </c>
      <c r="AD59" s="4" t="s">
        <v>34</v>
      </c>
      <c r="AE59" s="4" t="s">
        <v>34</v>
      </c>
      <c r="AF59" s="4" t="s">
        <v>34</v>
      </c>
      <c r="AG59" s="4"/>
      <c r="AH59" s="4"/>
      <c r="AI59" s="4"/>
    </row>
    <row r="60" ht="15.75" customHeight="1">
      <c r="A60" s="4" t="s">
        <v>123</v>
      </c>
      <c r="B60" s="12">
        <v>3.0</v>
      </c>
      <c r="C60" s="6" t="s">
        <v>47</v>
      </c>
      <c r="D60" s="6" t="s">
        <v>48</v>
      </c>
      <c r="E60" s="4" t="s">
        <v>35</v>
      </c>
      <c r="F60" s="8" t="b">
        <f t="shared" si="2"/>
        <v>0</v>
      </c>
      <c r="G60" s="8" t="str">
        <f t="shared" si="3"/>
        <v>HARD</v>
      </c>
      <c r="H60" s="4" t="s">
        <v>62</v>
      </c>
      <c r="I60" s="6" t="s">
        <v>48</v>
      </c>
      <c r="J60" s="4" t="s">
        <v>48</v>
      </c>
      <c r="K60" s="4" t="s">
        <v>35</v>
      </c>
      <c r="L60" s="9" t="b">
        <f t="shared" ref="L60:M60" si="61">J60&lt;&gt;D60</f>
        <v>0</v>
      </c>
      <c r="M60" s="9" t="b">
        <f t="shared" si="61"/>
        <v>0</v>
      </c>
      <c r="N60" s="4" t="s">
        <v>38</v>
      </c>
      <c r="O60" s="4" t="s">
        <v>38</v>
      </c>
      <c r="P60" s="4" t="s">
        <v>44</v>
      </c>
      <c r="Q60" s="4"/>
      <c r="R60" s="4" t="s">
        <v>39</v>
      </c>
      <c r="S60" s="4" t="s">
        <v>39</v>
      </c>
      <c r="T60" s="7" t="s">
        <v>48</v>
      </c>
      <c r="U60" s="4" t="s">
        <v>34</v>
      </c>
      <c r="V60" s="4" t="s">
        <v>34</v>
      </c>
      <c r="W60" s="4" t="s">
        <v>34</v>
      </c>
      <c r="X60" s="17" t="s">
        <v>34</v>
      </c>
      <c r="Y60" s="17" t="s">
        <v>34</v>
      </c>
      <c r="Z60" s="4" t="s">
        <v>34</v>
      </c>
      <c r="AA60" s="7" t="s">
        <v>48</v>
      </c>
      <c r="AB60" s="4" t="s">
        <v>34</v>
      </c>
      <c r="AC60" s="4" t="s">
        <v>34</v>
      </c>
      <c r="AD60" s="4" t="s">
        <v>34</v>
      </c>
      <c r="AE60" s="17" t="s">
        <v>34</v>
      </c>
      <c r="AF60" s="17" t="s">
        <v>34</v>
      </c>
      <c r="AG60" s="21"/>
      <c r="AH60" s="21"/>
      <c r="AI60" s="21"/>
    </row>
    <row r="61" ht="15.75" hidden="1" customHeight="1">
      <c r="A61" s="4" t="s">
        <v>124</v>
      </c>
      <c r="B61" s="13">
        <v>4.0</v>
      </c>
      <c r="C61" s="4" t="s">
        <v>33</v>
      </c>
      <c r="D61" s="4" t="s">
        <v>35</v>
      </c>
      <c r="E61" s="4" t="s">
        <v>35</v>
      </c>
      <c r="F61" s="9" t="b">
        <f t="shared" si="2"/>
        <v>1</v>
      </c>
      <c r="G61" s="9" t="str">
        <f t="shared" si="3"/>
        <v>Evidence</v>
      </c>
      <c r="H61" s="4"/>
      <c r="I61" s="4" t="s">
        <v>35</v>
      </c>
      <c r="J61" s="4" t="s">
        <v>35</v>
      </c>
      <c r="K61" s="4" t="s">
        <v>35</v>
      </c>
      <c r="L61" s="9" t="b">
        <f t="shared" ref="L61:M61" si="62">J61&lt;&gt;D61</f>
        <v>0</v>
      </c>
      <c r="M61" s="9" t="b">
        <f t="shared" si="62"/>
        <v>0</v>
      </c>
      <c r="N61" s="4" t="s">
        <v>37</v>
      </c>
      <c r="O61" s="4" t="s">
        <v>38</v>
      </c>
      <c r="P61" s="4">
        <v>5.0</v>
      </c>
      <c r="Q61" s="4">
        <v>1.0</v>
      </c>
      <c r="R61" s="4" t="s">
        <v>45</v>
      </c>
      <c r="S61" s="4" t="s">
        <v>45</v>
      </c>
      <c r="T61" s="4" t="s">
        <v>35</v>
      </c>
      <c r="U61" s="4" t="s">
        <v>35</v>
      </c>
      <c r="V61" s="4" t="s">
        <v>35</v>
      </c>
      <c r="W61" s="4" t="s">
        <v>35</v>
      </c>
      <c r="X61" s="4" t="s">
        <v>35</v>
      </c>
      <c r="Y61" s="4" t="s">
        <v>35</v>
      </c>
      <c r="Z61" s="4" t="s">
        <v>54</v>
      </c>
      <c r="AA61" s="4" t="s">
        <v>35</v>
      </c>
      <c r="AB61" s="4" t="s">
        <v>35</v>
      </c>
      <c r="AC61" s="4" t="s">
        <v>35</v>
      </c>
      <c r="AD61" s="4" t="s">
        <v>35</v>
      </c>
      <c r="AE61" s="4" t="s">
        <v>35</v>
      </c>
      <c r="AF61" s="4" t="s">
        <v>35</v>
      </c>
      <c r="AG61" s="4"/>
      <c r="AH61" s="4"/>
      <c r="AI61" s="4"/>
    </row>
    <row r="62" ht="15.75" customHeight="1"/>
    <row r="63" ht="15.75" customHeight="1"/>
    <row r="64" ht="15.75" customHeight="1"/>
    <row r="65" ht="15.75" customHeight="1">
      <c r="E65" s="2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F$61">
    <filterColumn colId="6">
      <filters>
        <filter val="HARD"/>
      </filters>
    </filterColumn>
  </autoFilter>
  <printOptions/>
  <pageMargins bottom="1.0" footer="0.0" header="0.0" left="0.75" right="0.75" top="1.0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2026-10-10T14:02:48Z</dcterms:created>
  <dc:creator>Alejandra Barbosa</dc:creator>
</cp:coreProperties>
</file>