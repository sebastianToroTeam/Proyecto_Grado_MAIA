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tes" sheetId="1" r:id="rId4"/>
    <sheet state="visible" name="Rules" sheetId="2" r:id="rId5"/>
    <sheet state="visible" name="Key" sheetId="3" r:id="rId6"/>
    <sheet state="visible" name="Scores" sheetId="4" r:id="rId7"/>
    <sheet state="visible" name="Agreement" sheetId="5" r:id="rId8"/>
  </sheets>
  <definedNames/>
  <calcPr/>
  <extLst>
    <ext uri="GoogleSheetsCustomDataVersion2">
      <go:sheetsCustomData xmlns:go="http://customooxmlschemas.google.com/" r:id="rId9" roundtripDataChecksum="o5FiUFZ+4jplA2hQCRTQvfsTIQuLe+kUWG9TnLHWRlA="/>
    </ext>
  </extLst>
</workbook>
</file>

<file path=xl/sharedStrings.xml><?xml version="1.0" encoding="utf-8"?>
<sst xmlns="http://schemas.openxmlformats.org/spreadsheetml/2006/main" count="743" uniqueCount="378">
  <si>
    <t>Citation</t>
  </si>
  <si>
    <t>The categories</t>
  </si>
  <si>
    <t>Answer</t>
  </si>
  <si>
    <t>target_sentence</t>
  </si>
  <si>
    <t>Also acceptable</t>
  </si>
  <si>
    <t>Rule</t>
  </si>
  <si>
    <t>Explanation</t>
  </si>
  <si>
    <t>C01</t>
  </si>
  <si>
    <t>Application</t>
  </si>
  <si>
    <t>R-EV</t>
  </si>
  <si>
    <t>The current work uses the target's dataset (YouTubeBB) in its own experiments: Application.</t>
  </si>
  <si>
    <t>C02</t>
  </si>
  <si>
    <t>Basis</t>
  </si>
  <si>
    <t>context</t>
  </si>
  <si>
    <t>cited_title</t>
  </si>
  <si>
    <t>Improvement/Modification</t>
  </si>
  <si>
    <t>R-EV, R-IM</t>
  </si>
  <si>
    <t>1_ABC</t>
  </si>
  <si>
    <t>2_CEBC</t>
  </si>
  <si>
    <t>Inspired by [T] … and we extend it': the current work builds on the target's model as its starting point; 'extend it' can also be read as adapting the target's method.</t>
  </si>
  <si>
    <t>3_FL</t>
  </si>
  <si>
    <t>C03</t>
  </si>
  <si>
    <t>4_GR</t>
  </si>
  <si>
    <t>Further Reading</t>
  </si>
  <si>
    <t>5_JA</t>
  </si>
  <si>
    <t>R-FR</t>
  </si>
  <si>
    <t>6_JGAC</t>
  </si>
  <si>
    <t>For a detailed survey we refer the reader to [T]': a pointer, no other function.</t>
  </si>
  <si>
    <t>7_RAB</t>
  </si>
  <si>
    <t>C04</t>
  </si>
  <si>
    <t>Gap</t>
  </si>
  <si>
    <t>8_ST</t>
  </si>
  <si>
    <t>R-GAP</t>
  </si>
  <si>
    <t>Background</t>
  </si>
  <si>
    <t>The limitation ('have not been developed for real-time inference') is stated about the cited architectures, citation right after them: Gap.</t>
  </si>
  <si>
    <t>Answered</t>
  </si>
  <si>
    <t>C05</t>
  </si>
  <si>
    <t>Revealed</t>
  </si>
  <si>
    <t>Expected</t>
  </si>
  <si>
    <t>R-IM</t>
  </si>
  <si>
    <t>Our approach … via generalizing NeRF [T]': the current work extends the target's method.</t>
  </si>
  <si>
    <t>Matches</t>
  </si>
  <si>
    <t>C06</t>
  </si>
  <si>
    <t>cited_abstract</t>
  </si>
  <si>
    <t>context, history, or one example among related works.</t>
  </si>
  <si>
    <t>Comparison</t>
  </si>
  <si>
    <t>passage_1</t>
  </si>
  <si>
    <t>R-CMP</t>
  </si>
  <si>
    <t>passage_2</t>
  </si>
  <si>
    <t>Another cited work (SharpMask) is likened to the target ('similar to U-Net as developed by [T]'): Comparison between cited works.</t>
  </si>
  <si>
    <t>passage_3</t>
  </si>
  <si>
    <t>C07</t>
  </si>
  <si>
    <t>group_size</t>
  </si>
  <si>
    <t>Evidence</t>
  </si>
  <si>
    <t>the citing text states a limitation of the target, or something it leaves unsolved.</t>
  </si>
  <si>
    <t>The target backs the authors' claim that perturbations transfer to other models (cited at the end of the claim): Evidence.</t>
  </si>
  <si>
    <t>C08</t>
  </si>
  <si>
    <t>the current work builds on / follows / extends the target ("we", "our method" as subject).</t>
  </si>
  <si>
    <t>likens or contrasts the current work with the target, or the target with other works.</t>
  </si>
  <si>
    <t>We also added the input as Layer 0 which enables the tracker to benefit from NCC tracking, hence [FORMULA]input, conv1_1, conv2_1, conv3_1, conv4_1, conv5_1[FORMULA] .In our implementation, [FORMULA] , regularization weights [FORMULA] are determined with cross-validation on YouTubeBB [[TARGET]] and are fixed for all the experiments, others parameters are similar to [CITE].</t>
  </si>
  <si>
    <t>On the other hand' contrasts the target's goal (accuracy) with the previous cited work's (speed); read as a plain description it is Background.</t>
  </si>
  <si>
    <t>C09</t>
  </si>
  <si>
    <t>the current work uses the target's method, tool or data as is.</t>
  </si>
  <si>
    <t>the current work adapts, extends or modifies the target's method, tool or data.</t>
  </si>
  <si>
    <t>The dense connectivity of the target is used as is in the current model ('following [T]'): Application.</t>
  </si>
  <si>
    <t>We used VGG19 network consisting of 16 convolutional and 5 max-pooling layers, as implemented in MatConvNet[CITE] and pre-trained on the ImageNet dataset for the image classification.
To be constistant with [CITE] and [CITE], we used the conv layers after the pooling
. We also added the input as Layer 0 which enables the tracker to benefit from NCC tracking, hence [FORMULA]input, conv1_1, conv2_1, conv3_1, conv4_1, conv5_1[FORMULA] .In our implementation, [FORMULA] , regularization weights [FORMULA] are determined with cross-validation on YouTubeBB [[TARGET]] and are fixed for all the experiments, others parameters are similar to [CITE].</t>
  </si>
  <si>
    <t>C10</t>
  </si>
  <si>
    <t>the target backs a claim, choice or result of the citing authors.</t>
  </si>
  <si>
    <t>YouTube-BoundingBoxes: A Large High-Precision Human-Annotated Data Set
 for Object Detection in Video</t>
  </si>
  <si>
    <t>Identification of the Originator</t>
  </si>
  <si>
    <t>credits the target as the first / original source of an idea.</t>
  </si>
  <si>
    <t>The list closes the claim about pancreas segmentation accuracy, so by the position test the cited works are cited as the source of that statement: Evidence. Read as the works that have the low accuracy, Gap is also acceptable.</t>
  </si>
  <si>
    <t>C11</t>
  </si>
  <si>
    <t>sends the reader to the target ("see [x]", "for a survey see [x]").</t>
  </si>
  <si>
    <t>Unclear</t>
  </si>
  <si>
    <t>only praise or criticism, or no category clearly applies.</t>
  </si>
  <si>
    <t>ResNet-18 [T]: We modify the size of all convolutional kernels…': a described change to the target's network.</t>
  </si>
  <si>
    <t>C12</t>
  </si>
  <si>
    <t>The rules (rev1.1)</t>
  </si>
  <si>
    <t>R0 Reading scope</t>
  </si>
  <si>
    <t>The gap is in the field ('multi-pose try-on has not been well studied'); no limitation is attributed to the listed works, so they are Background.</t>
  </si>
  <si>
    <t>Start from the target's sentence. Another sentence counts only if it refers back to the target ("they", "these methods", a list containing it). Never the section, the paragraph topic or other citations' claims.</t>
  </si>
  <si>
    <t>C13</t>
  </si>
  <si>
    <t>Originator</t>
  </si>
  <si>
    <t>Evidence = the target backs a claim of the citing authors, incl. the source that reports another method's limitation. Describing the target, or one example of a family = Background. Using it = Application.</t>
  </si>
  <si>
    <t>PSPNet [T] was the first to employ a pyramid pooling module': credited as first.</t>
  </si>
  <si>
    <t>C14</t>
  </si>
  <si>
    <t>A limitation stated about a list makes each listed work Gap. Position test: citation right after the works, before the limitation = Gap; at the end of a statement about a limitation of something else = Evidence. A gap of the field with no limitation attributed to the works = Background.</t>
  </si>
  <si>
    <t>The target's insight is taken as a foundation of the current design ('so we decided to use this insight in our framework'); as a justification of that choice it is Evidence.</t>
  </si>
  <si>
    <t>"adapt / extend / modify [target's method]" = Improvement/Modification, even if the change is not described. "modify X as in [x]" = Application.</t>
  </si>
  <si>
    <t>C15</t>
  </si>
  <si>
    <t>Likening or contrasting the current work with the target = Comparison. A dataset detail of a compared work, or a family contrasted as a whole = Background.</t>
  </si>
  <si>
    <t>ResNet-50 is the model the current work uses in its own experiments; 'outperforms its vanilla counterpart' compares two versions of it, not the current work with the target.</t>
  </si>
  <si>
    <t>A "see [x]" pointer = Further Reading, unless the sentence also compares or makes a claim the target supports (then that function; Further Reading secondary).</t>
  </si>
  <si>
    <t>C16</t>
  </si>
  <si>
    <t>Needs the current work as the subject of "build on / follow / extend". Other works based on [x] = Background.</t>
  </si>
  <si>
    <t>The target is one example (colorization) of a family of approaches contrasted as a whole: Background.</t>
  </si>
  <si>
    <t>Pick one</t>
  </si>
  <si>
    <t>The PRIMARY function: the one that applies most clearly to the target.</t>
  </si>
  <si>
    <t>C17</t>
  </si>
  <si>
    <t>We refer the reader to several survey papers [..T..]': a pointer.</t>
  </si>
  <si>
    <t>C18</t>
  </si>
  <si>
    <t>The target is credited with proposing a new kind of perturbation and its term (UAP); the contrast with previous methods is secondary.</t>
  </si>
  <si>
    <t>C19</t>
  </si>
  <si>
    <t>We compare our DIS5K against 19 other related datasets including … SOC [T]': current work vs target.</t>
  </si>
  <si>
    <t>C20</t>
  </si>
  <si>
    <t>It has been shown that … are very weak [T]': the target backs a claim the authors rely on.</t>
  </si>
  <si>
    <t>C21</t>
  </si>
  <si>
    <t>CycleGAN [T] … still suffers from large chromatic aberration…': the limitation is stated about the target itself.</t>
  </si>
  <si>
    <t>C22</t>
  </si>
  <si>
    <t>The current work employs the target's shift operation as is.</t>
  </si>
  <si>
    <t>C23</t>
  </si>
  <si>
    <t>R-IM, R-EV</t>
  </si>
  <si>
    <t>Inspired by [T], we extend the DC-CNN framework': the extended object is DC-CNN, not the target, so the target is the idea's source (Basis); applying stochastic depth to subnetworks can also be read as adapting the target's method.</t>
  </si>
  <si>
    <t>C24</t>
  </si>
  <si>
    <t>As pioneers, Liu et al. [T] introduced…': credited as pioneer.</t>
  </si>
  <si>
    <t>C25</t>
  </si>
  <si>
    <t>Please see [C], [T] for more details': a pointer.</t>
  </si>
  <si>
    <t>C26</t>
  </si>
  <si>
    <t>Not caused by overfitting as reported in [T]': the target backs the authors' claim.</t>
  </si>
  <si>
    <t>C27</t>
  </si>
  <si>
    <t>Person</t>
  </si>
  <si>
    <t>R-EV, R-GAP</t>
  </si>
  <si>
    <t>PatchMatch … has a limited regularization power as shown in [T]': the target is the source that reports another method's limitation, not its holder: Evidence.</t>
  </si>
  <si>
    <t>C28</t>
  </si>
  <si>
    <t>We adapt the representation from [T]': the authors adapt the target's method.</t>
  </si>
  <si>
    <t>C29</t>
  </si>
  <si>
    <t>The target is one of many works naming the research area (UDA for segmentation): Background.</t>
  </si>
  <si>
    <t>C30</t>
  </si>
  <si>
    <t>The limitation ('cannot apply to our … task') is stated about the UDA methods the target is listed among (holder): Gap.</t>
  </si>
  <si>
    <t>Answered (revealed)</t>
  </si>
  <si>
    <t>Matches key</t>
  </si>
  <si>
    <t>Agreement</t>
  </si>
  <si>
    <t>We introduce a new large-scale data set of video URLs with densely-sampled
object bounding box annotations called YouTube-BoundingBoxes (YT-BB). The data
set consists of approximately 380,000 video segments about 19s long,
automatically selected to feature objects in natural settings without editing
or post-processing, with a recording quality often akin to that of a hand-held
cell phone camera. The objects represent a subset of the MS COCO label set. All
video segments were human-annotated with high-precision classification labels
and bounding boxes at 1 frame per second. The use of a cascade of increasingly
precise human annotations ensures a label accuracy above 95% for every class
and tight bounding boxes. Finally, we train and evaluate well-known deep
network architectures and report baseline figures for per-frame classification
and localization to provide a point of comparison for future work. We also
demonstrate how the temporal contiguity of video can potentially be used to
improve such inferences. Please see the PDF file to find the URL to download
the data. We hope the availability of such large curated corpus will spur new
advances in video object detection and tracking.</t>
  </si>
  <si>
    <t>[Object detection] We then compared the relative difficulty of YT-BB and COCO for object detection. We used two instances of a Faster-RCNN REF detection proposal architecture [CITE] paired with an Inception-ResNet-v2 REF feature network [CITE], [CITE]. Increasing the number of detection proposal results in improved object localizations at the expense of more computationally expensive inference and training. We selected a set of hyperparameters that resulted in 1400b FLOPs per frame for inference. Both instances were partially initialized with the weights of an Inception-ResNet-v2 image classification system trained on the ImageNet 2012 Challenge data set [CITE]. One instance was subsequently trained further on YT-BB (“the YT-BB model”) and another on COCO (“the COCO model”).
 We evaluated the performance of each model by measuring the mean precision-recall curve across all 23 classes. These results are summarized across several
standard calculations of mAP for object detection in Table REF and delineated by class in Supplementary Table REF . We find that training on YT-BB (mAP = 0.59) is easier than on COCO (mAP = 0.43). This result is consistent when measured across a range of detection box sizes.</t>
  </si>
  <si>
    <t>[Image classification] We started by comparing the relative difficulty of two instances of the same image classification model, one trained on YT-BB (“the YT-BB model”) and one trained on COCO (“the COCO model”). Our data set has explicit classification annotations. For COCO, we treated the presence or absence of any object localization of a class as either a positive or negative label, respectively. Both models employed an Inception-v3See Supplementary Section  for GitHub locations. architecture [CITE] with logistic regression, implemented in TensorFlow[CITE]. The choice of logistic regression reflects the fact that multiple labels may be associated with a single image. Both models were initialized with the weights of an Inception-v3 image classification system pre-trained on the ImageNet 2012 Challenge data set [CITE] and subsequently fine-tuned on YT-BB/COCO individually.
 We measured the mean precision-recall curve across all 23 classes (excluding the “NONE” class since it is not available in COCO). These results are shown in the dark curves in Figure REF . We find that training on YT-BB (mAP = 0.93) is easier than on COCO (mAP = 0.83), which could reflect the larger amount of training data per-class available in YT-BB.</t>
  </si>
  <si>
    <t>[Exploiting temporal information in videos] For the object detection task, we down-weighted spurious weak object detections that appeared in single video frames but not in neighboring frames. Specifically, we artificially multiplied by [FORMULA] the confidence scores of detected objects that did not overlap significantly with previous and subsequent frame detections (IOU [FORMULA] ; confidence [FORMULA] ). Figure REF shows the effects of this manipulation on the precision-recall curves. When aggregating across all classes, temporal smoothing slightly reduces model performance (mAP = 0.36 vs mAP = 0.37). We broke down this result to expose the diversity of behavior across labels. This revealed elevated precision-recall curves for some classes (“knife”, “bus”) but lowered curves for other classes (“person”). In principle, a unified model could at least learn which classes benefit and apply the correction only to those. Despite the mixed results, this analysis suggests that taking into account the temporal structure of the video could result in better detection models.</t>
  </si>
  <si>
    <t>The SINet-Caption is inspired by prior work using hierarchical LSTM for captioning task [[TARGET]], [CITE], and we extend it with the proposed recurrent higher-order interaction module so that the model can leverage the detected higher-order object interactions, as shown in Figure REF .</t>
  </si>
  <si>
    <t>The SINet-Caption is inspired by prior work using hierarchical LSTM for captioning task [[TARGET]], [CITE], and we extend it with the proposed recurrent higher-order interaction module so that the model can leverage the detected higher-order object interactions, as shown in Figure REF .
The model consist of two LSTM layers: Attention LSTM and Language LSTM.</t>
  </si>
  <si>
    <t>Bottom-Up and Top-Down Attention for Image Captioning and Visual
 Question Answering</t>
  </si>
  <si>
    <t>Top-down visual attention mechanisms have been used extensively in image
captioning and visual question answering (VQA) to enable deeper image
understanding through fine-grained analysis and even multiple steps of
reasoning. In this work, we propose a combined bottom-up and top-down attention
mechanism that enables attention to be calculated at the level of objects and
other salient image regions. This is the natural basis for attention to be
considered. Within our approach, the bottom-up mechanism (based on Faster
R-CNN) proposes image regions, each with an associated feature vector, while
the top-down mechanism determines feature weightings. Applying this approach to
image captioning, our results on the MSCOCO test server establish a new
state-of-the-art for the task, achieving CIDEr / SPICE / BLEU-4 scores of
117.9, 21.5 and 36.9, respectively. Demonstrating the broad applicability of
the method, applying the same approach to VQA we obtain first place in the 2017
VQA Challenge.</t>
  </si>
  <si>
    <t>[Top-Down Attention LSTM] Within the captioning model, we characterize the first LSTM layer as a top-down visual attention model, and the second LSTM layer as a language model, indicating each layer with superscripts in the equations that follow. Note that the bottom-up attention model is described in sec:rcnn, and in this section its outputs are simply considered as features [FORMULA] . The input vector to the attention LSTM at each time step consists of the previous output of the language LSTM, concatenated with the mean-pooled image feature [FORMULA] and an encoding of the previously generated word, given by:
[FORMULA] 
 where [FORMULA] is a word embedding matrix for a vocabulary [FORMULA] , and [FORMULA] is one-hot encoding of the input word at timestep [FORMULA] . These inputs provide the attention LSTM with maximum context regarding the state of the language LSTM, the overall content of the image, and the partial caption output generated so far, respectively. The word embedding is learned from random initialization without pretraining.</t>
  </si>
  <si>
    <t>[Captioning Model] Given a set of image features [FORMULA] , our proposed captioning model uses a `soft' top-down attention mechanism to weight each feature during caption generation, using the existing partial output sequence as context. This approach is broadly similar to several previous works [CITE], [CITE], [CITE]. However, the particular design choices outlined below make for a relatively simple yet high-performing baseline model. Even without bottom-up attention, our captioning model achieves performance comparable to state-of-the-art on most evaluation metrics (refer tab:karpathy).
 At a high level, the captioning model is composed of two LSTM [CITE] layers using a standard implementation [CITE]. In the sections that follow we will refer to the operation of the LSTM over a single time step using the following notation:
[FORMULA]</t>
  </si>
  <si>
    <t>[VQA Model] Given a set of spatial image features [FORMULA] , our proposed VQA model also uses a `soft' top-down attention mechanism to weight each feature, using the question representation as context. As illustrated in fig:vqa, the proposed model implements the well-known joint multimodal embedding of the question and the image, followed by a prediction of regression of scores over a set of candidate answers. This approach has been the basis of numerous previous models [CITE], [CITE], [CITE]. However, as with our captioning model, implementation decisions are important to ensure that this relatively simple model delivers high performance.
 The learned non-linear transformations within the network are implemented with gated hyperbolic tangent activations [CITE]. These are a special case of highway networks [CITE] that have shown a strong empirical advantage over traditional ReLU or tanh layers. Each of our `gated tanh' layers implements a function [FORMULA] with parameters [FORMULA] defined as follows:
[FORMULA]</t>
  </si>
  <si>
    <t>For a detailed survey we refer the reader to [[TARGET]], [CITE], [CITE], while here we provide a brief literature review.</t>
  </si>
  <si>
    <t>Skeleton-based action recognition has attracted growing attention in the realm of computer vision and a variety of methods have been proposed over the past decades.
For a detailed survey we refer the reader to [[TARGET]], [CITE], [CITE], while here we provide a brief literature review.
The early works on skeleton-based action recognition are based on hand-crafted features [CITE], [CITE], [CITE], [CITE],
while recent approaches are devised by designing deep neural networks (DNNs) like convolutional neural networks
(CNNs) [CITE], [CITE], [CITE] and recurrent neural networks (RNNs) [CITE], [CITE], [CITE].
In order to better capture the relationship of different joints in the spatial domain or dependency of different frames in the temporal domain,
a number of works utilized the attention mechanisms [CITE], [CITE], [CITE] and
graph neural networks (GNNs) [CITE], [CITE], [CITE], [CITE], [CITE] more recently.
Besides, there are various works using both skeleton joints and RGB videos as inputs for action recognition [CITE], [CITE], [CITE]. For example, Verma et al. [CITE] design two deep neural networks (DNNs) models for the multi-modal inputs respectively, and use a weight product model (WPM) to fuse the softmax scores obtained from the two DNNs.
Different from these works which deal with the input videos from the same dataset during training and testing phases,
we study a more practical and challenging UDA setting to deal with the samples across different datasets.</t>
  </si>
  <si>
    <t>Space-Time Representation of People Based on 3D Skeletal Data: A Review</t>
  </si>
  <si>
    <t>Spatiotemporal human representation based on 3D visual perception data is a
rapidly growing research area. Based on the information sources, these
representations can be broadly categorized into two groups based on RGB-D
information or 3D skeleton data. Recently, skeleton-based human representations
have been intensively studied and kept attracting an increasing attention, due
to their robustness to variations of viewpoint, human body scale and motion
speed as well as the realtime, online performance. This paper presents a
comprehensive survey of existing space-time representations of people based on
3D skeletal data, and provides an informative categorization and analysis of
these methods from the perspectives, including information modality,
representation encoding, structure and transition, and feature engineering. We
also provide a brief overview of skeleton acquisition devices and construction
methods, enlist a number of public benchmark datasets with skeleton data, and
discuss potential future research directions.</t>
  </si>
  <si>
    <t>[Introduction] Several survey papers were published in related research areas
such as motion and activity recognition.
For example,
Han et al. [CITE] described the Kinect sensor and its general application in computer vision and machine intelligence.
Aggarwal and Xia [CITE] recently published a review paper on
human activity recognition from 3D visual data,
which summarized five categories of representations based on
3D silhouettes,
skeletal joints or body part locations,
local spatio-temporal features, scene flow features,
and local occupancy features.
Several earlier surveys were also published to review
methods to recognize human poses, motions, gestures, and activities
[CITE], [CITE], [CITE], [CITE], [CITE], [CITE], [CITE], [CITE], [CITE], [CITE], [CITE], [CITE],
as well as their applications [CITE], [CITE].
However, none of the survey papers specifically focused on 3D human representation based on skeletal data,
which was the subject of numerous research papers in the literature
and continues to gain popularity in recent years.
 The objective of this survey is to provide a comprehensive overview of
3D skeleton-based human representations mainly published in the computer vision and machine intelligence communities,
which are built upon 3D human skeleton data that is assumed as the raw measurements directly from sensing hardware.
We categorize and compare the reviewed approaches from multiple perspectives,
including information modality, representation coding, structure and transition, and
feature engineering methodology, and analyze the pros and cons of each category.
Compared with the existing surveys,
the main contributions of this review include:</t>
  </si>
  <si>
    <t>[Introduction] Since the performance of machine learning and reasoning methods
heavily relies on the design of data representation [CITE],
human representations are intensively investigated to address human-centered research problems (e.g., human detection, tracking, pose estimation, and action recognition).
Among a large number of human representation approaches [CITE], [CITE], [CITE], [CITE], [CITE], [CITE],
most of the existing 3D based methods can be broadly grouped into two categories: representations based on local features [CITE], [CITE]
and skeleton-based representations [CITE], [CITE], [CITE], [CITE].
Methods based on local features detect points of interest in space-time dimensions,
describe the patches centered at the points as features,
and encode them (e.g., using bag-of-word models) into representations,
which can locate salient regions and are relatively robust to partial occlusion.
However, methods based on local features ignore spatial relationships among the features.
These approaches are often incapable of identifying feature affiliations, and thus the methods are generally incapable to represent multiple individuals in the same scene.
These methods are also computationally expensive because of the complexity of the procedures including keypoint detection,
feature description, dictionary construction, etc.</t>
  </si>
  <si>
    <t>Calibration agreement (calib30) — all values are formulas over the Votes and Key tabs</t>
  </si>
  <si>
    <t>[Representations Based on Low-Level Features] Several multi-layer techniques were also implemented to create skeleton-based human representations from low-level features.
In particular, deep learning approaches inherently consist of multiple layers
with the intermediate and output layers encoding different levels of features [CITE].
The multi-layer deep learning approaches have attracted an increasing attention
in recent several years
to learn human representations directly from human joint positions
[CITE], [CITE].
Inspired by the spatial pyramid method [CITE] to incorporate multi-layer image information,
temporal pyramid methods were introduced and used by several skeleton-based human representations
to capture the multi-layer information in the time dimension [CITE], [CITE], [CITE], [CITE], [CITE].
For example, a temporal pyramid method was proposed by Zhang et al. [CITE] to capture long-term dependencies,
as illustrated in Fig. REF .
In this example, a temporal sequence of eleven frames is used to represent a tennis-serve motion,
and the joint of interest is the right wrist, as denoted by the red dots in Fig REF .
When three levels are used in the temporal pyramid,
level 1 uses human skeleton data at all time points ([FORMULA] );
level 2 selects the joints at odd time points ([FORMULA] );
and level 3 continues this selection process and
keeps half of the temporal data points ([FORMULA] ) to compute long-term orientation changes.</t>
  </si>
  <si>
    <t>The state-of-the-art facial alignment architectures [[TARGET]][CITE][CITE] have not been developed for the purpose of real-time inference on resource restricted devices.</t>
  </si>
  <si>
    <t>The state-of-the-art facial alignment architectures [[TARGET]][CITE][CITE] have not been developed for the purpose of real-time inference on resource restricted devices. However, our applications primarily target such devices. To strike a better balance for real-time applications on those platforms, the ideal architecture should minimize load and execution time while preserving alignment accuracy.</t>
  </si>
  <si>
    <t>Deep Alignment Network: A convolutional neural network for robust face
 alignment</t>
  </si>
  <si>
    <t>Include in Fleiss κ (1 = yes, 0 = no)</t>
  </si>
  <si>
    <t>In this paper, we propose Deep Alignment Network (DAN), a robust face
alignment method based on a deep neural network architecture. DAN consists of
multiple stages, where each stage improves the locations of the facial
landmarks estimated by the previous stage. Our method uses entire face images
at all stages, contrary to the recently proposed face alignment methods that
rely on local patches. This is possible thanks to the use of landmark heatmaps
which provide visual information about landmark locations estimated at the
previous stages of the algorithm. The use of entire face images rather than
patches allows DAN to handle face images with large variation in head pose and
difficult initializations. An extensive evaluation on two publicly available
datasets shows that DAN reduces the state-of-the-art failure rate by up to 70%.
Our method has also been submitted for evaluation as part of the Menpo
challenge.</t>
  </si>
  <si>
    <t>[Implementation] The Python implementation runs at 73 fps for images processed in parallel and at 45 fps for images processed sequentially on a GeForce GTX 1070 GPU. We believe that the processing speed can be further improved by optimizing the implementation of some of our custom layers, most notably the Image Transform layer.
 To enable reproducible research, we release the source code of our implementation as well as the models used in the experimentshttps://github.com/MarekKowalski/DeepAlignmentNetwork. The published implementation also contains an example of face tracking with the proposed method.</t>
  </si>
  <si>
    <t>[Conclusions] In this paper, we introduced the Deep Alignment Network - a robust face alignment method based on convolutional neural networks. Contrary to the recently proposed face alignment methods, DAN performs face alignment based on entire face images, which makes it highly robust to large variations in both initialization and head pose. Using entire face images instead of local patches extracted around landmarks is possible thanks to the use of novel landmark heatmaps which transmit the information about landmark locations between DAN stages. Extensive evaluation performed on two challenging, publicly available datasets shows that the proposed method improves the state-of-the-art failure rate by a significant margin of over 70%.
 Future research includes investigation of new strategies for training DAN in an end-to-end manner. We also plan to introduce learning into the estimation of the transform [FORMULA] that normalizes the shapes and images between stages.</t>
  </si>
  <si>
    <t>[Introduction] To summarize, the three main contributions of this work are the following:
We introduce landmark heatmaps which transfer the information about current landmark location estimates between the stages of our method. This improvement allows our method to make use of the entire image of a face, instead of local patches, and avoid falling into local minima.
The resulting robust face alignment method we propose in this paper reduces the failure rate by 60% on the 300W private test set [CITE] and 72% on the 300-W public test set [CITE] compared to the state of the art.
Finally, we publish both the source code of our implementation of the proposed method and the models used in the experiments.</t>
  </si>
  <si>
    <t>Different from existing approaches based on pre-scanned human models [CITE] or parametric body models [CITE], [CITE], [CITE], our approach implicitly reconstructs the human geometry and appearance via generalizing Neural Radiance Fields (NeRF) [[TARGET]], which uses a neural network to encode color and density as a function of location and viewing angle, and generates photo-realistic images by volume rendering.</t>
  </si>
  <si>
    <t>In this paper, we target to obtain photo-realistic 3D human avatars from monocular RGB videos. Different from existing approaches based on pre-scanned human models [CITE] or parametric body models [CITE], [CITE], [CITE], our approach implicitly reconstructs the human geometry and appearance via generalizing Neural Radiance Fields (NeRF) [[TARGET]], which uses a neural network to encode color and density as a function of location and viewing angle, and generates photo-realistic images by volume rendering.
NeRF [CITE] has shown impressive ability in reconstructing a static scene from multi-view images, and inspires many researchers in extending NeRF to scenes with severe lighting changes [CITE] and non-rigid deformations [CITE], [CITE]. However, these approaches are uncontrollable and limited to nearly static scenes with small movements, failing to deal with human subjects with large movements.</t>
  </si>
  <si>
    <t>NeRF: Representing Scenes as Neural Radiance Fields for View Synthesis</t>
  </si>
  <si>
    <t>Include flag</t>
  </si>
  <si>
    <t>Edit the yellow cells to drop a person from Fleiss κ (2_CEBC did not vote). Fleiss κ uses the variable-raters form, so people who skipped a citation (6_JGAC: C17–C19) can stay in.</t>
  </si>
  <si>
    <t>1. Each person vs the answer key</t>
  </si>
  <si>
    <t>Strict matches</t>
  </si>
  <si>
    <t>Lenient matches</t>
  </si>
  <si>
    <t>Strict %</t>
  </si>
  <si>
    <t>Lenient %</t>
  </si>
  <si>
    <t>Cohen κ strict</t>
  </si>
  <si>
    <t>Cohen κ lenient</t>
  </si>
  <si>
    <t>We present a method that achieves state-of-the-art results for synthesizing
novel views of complex scenes by optimizing an underlying continuous volumetric
scene function using a sparse set of input views. Our algorithm represents a
scene using a fully-connected (non-convolutional) deep network, whose input is
a single continuous 5D coordinate (spatial location $(x,y,z)$ and viewing
direction $(\theta, \phi)$) and whose output is the volume density and
view-dependent emitted radiance at that spatial location. We synthesize views
by querying 5D coordinates along camera rays and use classic volume rendering
techniques to project the output colors and densities into an image. Because
volume rendering is naturally differentiable, the only input required to
optimize our representation is a set of images with known camera poses. We
describe how to effectively optimize neural radiance fields to render
photorealistic novel views of scenes with complicated geometry and appearance,
and demonstrate results that outperform prior work on neural rendering and view
synthesis. View synthesis results are best viewed as videos, so we urge readers
to view our supplementary video for convincing comparisons.</t>
  </si>
  <si>
    <t>[unknown] Given a dense sampling of views, photorealistic novel views can be reconstructed by simple light field sample interpolation techniques [CITE], [CITE], [CITE]. For novel view synthesis with sparser view sampling, the computer vision and graphics communities have made significant progress by predicting traditional geometry and appearance representations from observed images.
One popular class of approaches uses mesh-based representations of scenes with either diffuse [CITE] or view-dependent [CITE], [CITE], [CITE] appearance.
Differentiable rasterizers [CITE], [CITE], [CITE], [CITE] or pathtracers [CITE], [CITE] can directly optimize mesh representations to reproduce a set of input images using gradient descent.
However, gradient-based mesh optimization based on image reprojection is often difficult, likely because of local minima or poor conditioning of the loss landscape. Furthermore, this strategy requires a template mesh with fixed topology to be provided as an initialization before optimization [CITE], which is typically unavailable for unconstrained real-world scenes.</t>
  </si>
  <si>
    <t>[unknown] Another class of methods use volumetric representations to address the task of high-quality photorealistic view synthesis from a set of input RGB images.
Volumetric approaches are able to realistically represent complex shapes and materials, are well-suited for gradient-based optimization, and tend to produce less visually distracting artifacts than mesh-based methods.
Early volumetric approaches used observed images to directly color voxel grids [CITE], [CITE], [CITE]. More recently, several methods [CITE], [CITE], [CITE], [CITE], [CITE], [CITE], [CITE], [CITE] have used large datasets of multiple scenes to train deep networks that predict a sampled volumetric representation from a set of input images, and then use either alpha-compositing [CITE] or learned compositing along rays to render novel views at test time.
Other works have optimized a combination of convolutional networks (CNNs) and sampled voxel grids for each specific scene, such that the CNN can compensate for discretization artifacts from low resolution voxel grids [CITE] or allow the predicted voxel grids to vary based on input time or animation controls [CITE].
While these volumetric techniques have achieved impressive results for novel view synthesis, their ability to scale to higher resolution imagery is fundamentally limited by poor time and space complexity due to their discrete sampling — rendering higher resolution images requires a finer sampling of 3D space.
We circumvent this problem by instead encoding a continuous volume within the parameters of a deep fully-connected neural network, which not only produces significantly higher quality renderings than prior volumetric approaches, but also requires just a fraction of the storage cost of those sampled volumetric representations.
[FIGURE]</t>
  </si>
  <si>
    <t>[Introduction] Differentiable rasterizers [CITE], [CITE], [CITE], [CITE] or pathtracers [CITE], [CITE] can directly optimize mesh representations to reproduce a set of input images using gradient descent.
However, gradient-based mesh optimization based on image reprojection is often difficult, likely because of local minima or poor conditioning of the loss landscape. Furthermore, this strategy requires a template mesh with fixed topology to be provided as an initialization before optimization [CITE], which is typically unavailable for unconstrained real-world scenes.
Another class of methods use volumetric representations to address the task of high-quality photorealistic view synthesis from a set of input RGB images.
Volumetric approaches are able to realistically represent complex shapes and materials, are well-suited for gradient-based optimization, and tend to produce less visually distracting artifacts than mesh-based methods.
Early volumetric approaches used observed images to directly color voxel grids [CITE], [CITE], [CITE]. More recently, several methods [CITE], [CITE], [CITE], [CITE], [CITE], [CITE], [CITE], [CITE] have used large datasets of multiple scenes to train deep networks that predict a sampled volumetric representation from a set of input images, and then use either alpha-compositing [CITE] or learned compositing along rays to render novel views at test time.
Other works have optimized a combination of convolutional networks (CNNs) and sampled voxel grids for each specific scene, such that the CNN can compensate for discretization artifacts from low resolution voxel grids [CITE] or allow the predicted voxel grids to vary based on input time or animation controls [CITE].
While these volumetric techniques have achieved impressive results for novel view synthesis, their ability to scale to higher resolution imagery is fundamentally limited by poor time and space complexity due to their discrete sampling — rendering higher resolution images requires a finer sampling of 3D space.</t>
  </si>
  <si>
    <t>[CITE] propose “SharpMask”, a feed-forward architecture in which a convolutional network first generates coarse-resolution object masks, and then upsampling modules refine these masks at the original image resolution (resulting in an overall architecture similar to U-Net as developed by [[TARGET]]).</t>
  </si>
  <si>
    <t>A variety of papers have recently introduced “instance” segmentation methods that utilize recurrent or feed-forward networks to directly produce segmentation masks from an image. For example, [CITE] propose a recurrent architecture that at each iteration of the network dynamics produces a complete segmentation mask for a single object in the image. [CITE] propose “SharpMask”, a feed-forward architecture in which a convolutional network first generates coarse-resolution object masks, and then upsampling modules refine these masks at the original image resolution (resulting in an overall architecture similar to U-Net as developed by [[TARGET]]). Our approach builds on this prior work, but is distinct in several respects:</t>
  </si>
  <si>
    <t>U-Net: Convolutional Networks for Biomedical Image Segmentation</t>
  </si>
  <si>
    <t>There is large consent that successful training of deep networks requires
many thousand annotated training samples. In this paper, we present a network
and training strategy that relies on the strong use of data augmentation to use
the available annotated samples more efficiently. The architecture consists of
a contracting path to capture context and a symmetric expanding path that
enables precise localization. We show that such a network can be trained
end-to-end from very few images and outperforms the prior best method (a
sliding-window convolutional network) on the ISBI challenge for segmentation of
neuronal structures in electron microscopic stacks. Using the same network
trained on transmitted light microscopy images (phase contrast and DIC) we won
the ISBI cell tracking challenge 2015 in these categories by a large margin.
Moreover, the network is fast. Segmentation of a 512x512 image takes less than
a second on a recent GPU. The full implementation (based on Caffe) and the
trained networks are available at
http://lmb.informatik.uni-freiburg.de/people/ronneber/u-net .</t>
  </si>
  <si>
    <t>[Introduction] Obviously, the strategy in Ciresan et al. [CITE] has two drawbacks. First, it is quite slow because the network must be run separately for each patch, and there is a lot of redundancy due to overlapping patches.
Secondly, there is a trade-off between localization accuracy and the use of context. Larger patches require more max-pooling layers that reduce the localization accuracy, while small patches allow the network to see only little context. More recent approaches [CITE], [CITE] proposed a classifier output that takes into account the features from multiple layers. Good localization and the use of context are possible at the same time.
[FIGURE] In this paper, we build upon a more elegant architecture, the so-called “fully convolutional network” [CITE]. We modify and extend this architecture such that it works with very few training images and yields more precise segmentations; see fig:u-net. The main idea in [CITE] is to supplement a usual contracting network by successive layers, where pooling operators are replaced by upsampling operators. Hence, these layers increase the resolution of the output. In order to localize, high resolution features from the contracting path are combined with the upsampled output. A successive convolution layer can then learn to assemble a more precise output based on this information.</t>
  </si>
  <si>
    <t>[Training] In deep networks with many convolutional layers and different paths through the network, a good initialization of the weights is extremely important. Otherwise, parts of the network might give excessive activations, while other parts never contribute. Ideally the initial weights should be adapted such that each feature map in the network has approximately unit variance. For a network with our architecture (alternating convolution and ReLU layers) this can be achieved by drawing the initial weights from a Gaussian distribution with a standard deviation of [FORMULA] , where [FORMULA] denotes the number of incoming nodes of one neuron [CITE]. E.g. for a 3x3 convolution and 64 feature channels in the previous layer [FORMULA] .</t>
  </si>
  <si>
    <t>[Introduction] One important modification in our architecture is that in the upsampling part we have also a large number of feature channels, which allow the network to propagate context information to higher resolution layers. As a consequence, the expansive path is more or less symmetric to the contracting path, and yields a u-shaped architecture. The network does not have any fully connected layers and only uses the valid part of each convolution, i.e., the segmentation map only contains the pixels, for which the full context is available in the input image. This strategy allows the seamless segmentation of arbitrarily large images by an overlap-tile strategy (see fig:overlap-tile). To predict the pixels in the border region of the image, the missing context is extrapolated by mirroring the input image. This tiling strategy is important to apply the network to large images, since otherwise the resolution would be limited by the GPU memory.
[FIGURE] As for our tasks there is very little training data available, we use excessive data augmentation by applying elastic deformations to the available training images. This allows the network to learn invariance to such deformations, without the need to see these transformations in the annotated image corpus. This is particularly important in biomedical segmentation, since deformation used to be the most common variation in tissue and realistic deformations can be simulated efficiently. The value of data augmentation for learning invariance has been shown in Dosovitskiy et al. [CITE] in the scope of unsupervised feature learning.</t>
  </si>
  <si>
    <t>This shortcoming is severe since certain adversarial perturbations created by the white-box attacks can fool other unrelated models owing to the adversarial transferability phenomenon [[TARGET]].</t>
  </si>
  <si>
    <t>While face recognition is improved significantly over recent years thanks to the breakthroughs in deep learning, the face recognition models are prone to adversarial perturbations [CITE]. This shortcoming is severe since certain adversarial perturbations created by the white-box attacks can fool other unrelated models owing to the adversarial transferability phenomenon [[TARGET]]. One of the most thoroughly benchmarked defenses against adversarial attacks is adversarial training [CITE], [CITE], in which a CNN model is trained on adversarial examples generated by itself. Despite the considerable improvement in adversarial learning, recent works on biometrics mostly rest on developing robust face recognition [CITE], face identification [CITE], and face verification systems [CITE]. However, in the case of the morphed images, it has received far less attention to generate adversarial examples and benchmark their robustness against adversarial perturbations. To alleviate this threat, we augment the training dataset of the target model with multi-adversarial perturbations transferred from different pre-trained models.</t>
  </si>
  <si>
    <t>Enhancing Adversarial Example Transferability with an Intermediate Level
 Attack</t>
  </si>
  <si>
    <t>Neural networks are vulnerable to adversarial examples, malicious inputs
crafted to fool trained models. Adversarial examples often exhibit black-box
transfer, meaning that adversarial examples for one model can fool another
model. However, adversarial examples are typically overfit to exploit the
particular architecture and feature representation of a source model, resulting
in sub-optimal black-box transfer attacks to other target models. We introduce
the Intermediate Level Attack (ILA), which attempts to fine-tune an existing
adversarial example for greater black-box transferability by increasing its
perturbation on a pre-specified layer of the source model, improving upon
state-of-the-art methods. We show that we can select a layer of the source
model to perturb without any knowledge of the target models while achieving
high transferability. Additionally, we provide some explanatory insights
regarding our method and the effect of optimizing for adversarial examples
using intermediate feature maps. Our code is available at
https://github.com/CUVL/Intermediate-Level-Attack.</t>
  </si>
  <si>
    <t>[Introduction] Adversarial attacks can be classified into two categories: white-box attacks and black-box attacks. In white-box attacks, information of the model (i.e., its architecture, gradient information, etc.) is accessible, whereas in black-box attacks, the attackers have access only to the prediction. Black-box attacks are a bigger concern for real-world applications for the obvious reason that such applications typically will not reveal their models publicly, especially when security is a concern (e.g., CNN-based objectionable content filters in social media). Consequently, black-box attacks are mostly focused on the transferability of adversarial examples .
 Moreover, adversarial examples generated using white-box attacks will sometimes successfully attack an unrelated model. This phenomenon is known as “transferability.” However, black-box success rates for an attack are nearly always lower than those of white-box attacks, suggesting that the white-box attacks overfit on the source model. Different adversarial attacks transfer at different rates, but most of them are not optimizing specifically for transferability. This paper aims to achieve the goal of increasing the transferability of a given adversarial example. To this end, we propose a novel method that fine-tunes a given adversarial example through examining its representations in intermediate feature maps that we call Intermediate Level Attack (ILA).</t>
  </si>
  <si>
    <t>[Introduction] Adversarial examples are small, imperceptible perturbations of images carefully crafted to fool trained models , . Studies such as have shown that Convolutional Neural Networks (CNNs) are particularly vulnerable to such adversarial attacks. The existence of these adversarial attacks suggests that our architectures and training procedures produce fundamental blind spots in our models, and that our models are not learning the same features that humans do.
 These adversarial attacks are of interest for more than just the theoretical issues they pose – concerns have also been raised over the vulnerability of CNNs to these perturbations in the real world, where they are used for mission-critical applications such as online content filtration systems and self-driving cars , . As a result, a great deal of effort has been dedicated to studying adversarial perturbations. Much of the literature has been dedicated to the development of new attacks that use different perceptibility metrics , , , security settings (black box/white box) , , as well as increasing efficiency . Defending against adversarial attacks is also well studied. In particular, adversarial training, where models are trained on adversarial examples, has been shown to be effective under certain assumptions , .</t>
  </si>
  <si>
    <t>[Intermediate-layer Adversarial Attacks] A small number of studies have focused on perturbing mid-layer outputs. These include , which perturbs mid-layer activations by crafting a single universal perturbation that produces as many spurious mid-layer activations as possible. Another is Feature Adversary Attack , , which performs a targeted attack by minimizing the distance of the representations of two images in internal neural network layers (instead of in the output layer). However, instead of emphasizing adversarial transferability, it focuses more on internal representations. Results in the paper show that even when given a guide image and a dissimilar target image, it is possible to perturb the target image to produce an embedding similar to that of the guide image.
 Two other related works , focus on perturbing intermediate activation maps for the purpose of increasing adversarial transferability in a method similar to that of , except they focus on black-box transferability. Their method does not focus on fine-tuning existing adversarial examples and differs significantly in attack methodology from ours.</t>
  </si>
  <si>
    <t>Flow-guided feature aggregation [[TARGET]], on the other hand, tries to improve accuracy by aggregating features from nearby frames.</t>
  </si>
  <si>
    <t>Object detection from video.
Others have also exploited the temporal properties of video to improve object detection.
T-CNN [CITE] regularizes detection results with tracking output.
In Detect and Track [CITE], an end-to-end architecture is proposed which incorporates detection and tracking to improve accuracy. Both methods require future frames to predict current frame, therefore they are non-causal.
Deep feature flow [CITE] exploits temporal redundancy between neighboring frames by estimating optical flow with FlowNet [CITE].
It achieves high speed-ups by skipping feature extraction for non-key frames.
Flow-guided feature aggregation [[TARGET]], on the other hand, tries to improve accuracy by aggregating features from nearby frames.
In  [CITE], a unified approach of exploiting feature flow is presented, which improves both the detection accuracy and the speed. A similar flow based hardware solution is proposed in [FORMULA]  [CITE].</t>
  </si>
  <si>
    <t>Flow-Guided Feature Aggregation for Video Object Detection</t>
  </si>
  <si>
    <t>Extending state-of-the-art object detectors from image to video is
challenging. The accuracy of detection suffers from degenerated object
appearances in videos, e.g., motion blur, video defocus, rare poses, etc.
Existing work attempts to exploit temporal information on box level, but such
methods are not trained end-to-end. We present flow-guided feature aggregation,
an accurate and end-to-end learning framework for video object detection. It
leverages temporal coherence on feature level instead. It improves the
per-frame features by aggregation of nearby features along the motion paths,
and thus improves the video recognition accuracy. Our method significantly
improves upon strong single-frame baselines in ImageNet VID, especially for
more challenging fast moving objects. Our framework is principled, and on par
with the best engineered systems winning the ImageNet VID challenges 2016,
without additional bells-and-whistles. The proposed method, together with Deep
Feature Flow, powered the winning entry of ImageNet VID challenges 2017. The
code is available at
https://github.com/msracver/Flow-Guided-Feature-Aggregation.</t>
  </si>
  <si>
    <t>[Introduction] Nevertheless, the video has rich information about the same object instance, usually observed in multiple “snapshots" in a short time. Such temporal information is exploited in existing video object detection methods [CITE], [CITE], [CITE], [CITE] in a simple way. These methods firstly apply object detectors in single frames and then assemble the detected bounding boxes across temporal dimension in a dedicated post processing step. This step relies on off-the-shelf motion estimation such as optical flow, and hand-crafted bounding box association rules such as object tracking. In general, such methods manipulate the single-frame detection boxes with mediocre qualities but do not improve the detection quality. The performance improvement is from heuristic post-processing instead of principled learning. There is no end-to-end training. In this work, these techniques are called box level methods.
 We attempt to take a deeper look at video object detection. We seek to improve the detection or recognition quality by exploiting temporal information, in a principled way. As motivated by the success in image recognition [CITE], feature matters, and we propose to improve the per-frame feature learning by temporal aggregation. Note that the features of the same object instance are usually not spatially aligned across frames due to video motion. A naive feature aggregation may even deteriorate the performance, as elaborated in Table REF (b) later. This suggests that it is critical to model the motion during learning.</t>
  </si>
  <si>
    <t>[Introduction] In this work, we propose flow-guided feature aggregation (FGFA). As illustrated in Figure REF , the feature extraction network is applied on individual frames to produce the per-frame feature maps. To enhance the features at a reference frame, an optical flow network [CITE] estimates the motions between the nearby frames and the reference frame. The feature maps from nearby frames are warped to the reference frame according to the flow motion. The warped features maps, as well as its own feature maps on the reference frame, are aggregated according to an adaptive weighting network. The resulting aggregated feature maps are then fed to the detection network to produce the detection result on the reference frame. All the modules of feature extraction, flow estimation, feature aggregation, and detection are trained end-to-end.
 Compared with box level methods, our approach works on feature level, performs end-to-end learning and is complementary (, to Seq-NMS [CITE]). It improves the per-frame features and generates high quality bounding boxes. The boxes can be further refined by box-level methods. Our approach is evaluated on the large-scale ImageNet VID dataset [CITE]. Rigorous ablation study verifies that it is effective and significantly improves upon strong single-frame baselines. Combination with box-level methods produces further improvement. We report object detection accuracy on par with the best engineered systems winning the ImageNet VID challenges, without additional bells-and-whistles (, model ensembling, multi-scale training/testing, ).</t>
  </si>
  <si>
    <t>[Introduction] Recent years have witnessed significant progress in object detection [CITE]. State-of-the-art methods share a similar two-stage structure. Deep Convolutional Neural Networks (CNNs) [CITE], [CITE], [CITE], [CITE] are firstly applied to generate a set of feature maps over the whole input image. A shallow detection-specific network [CITE], [CITE], [CITE], [CITE], [CITE] then generates the detection results from the feature maps.
 These methods achieve excellent results in still images. However, directly applying them for video object detection is challenging. The recognition accuracy suffers from deteriorated object appearances in videos that are seldom observed in still images, such as motion blur, video defocus, rare poses, etc (See an example in Figure REF and more in Figure REF ). As quantified in experiments, a state-of-the-art still-image object detector (R-FCN [CITE] + ResNet-101 [CITE]) deteriorates remarkably for fast moving objects (Table REF (a)).</t>
  </si>
  <si>
    <t>Each layer will take the output of the previous layer and the original input of the dense block as inputs, following [[TARGET]].</t>
  </si>
  <si>
    <t>We implement our model based on U-Net [CITE], which is also applied in the Traffic4cast 2019 competition and achieved the best results. As shown in Figure REF , it consists of 8 dense blocks and 7 transpose convolutional layers. The output of the [FORMULA] -th dense block will be input to the [FORMULA] -th transpose convolutional layer, which is a shortcut to retrieval more information from the original image. We also use these shortcuts inside the dense blocks. Each dense block has 4 convolutional layers. Each layer will take the output of the previous layer and the original input of the dense block as inputs, following [[TARGET]]. Dense blocks are followed by average pooling to half the size of the feature maps. The last dense block is followed by a single convolutional layer.
[FIGURE]</t>
  </si>
  <si>
    <t>Densely Connected Convolutional Networks</t>
  </si>
  <si>
    <t>Recent work has shown that convolutional networks can be substantially
deeper, more accurate, and efficient to train if they contain shorter
connections between layers close to the input and those close to the output. In
this paper, we embrace this observation and introduce the Dense Convolutional
Network (DenseNet), which connects each layer to every other layer in a
feed-forward fashion. Whereas traditional convolutional networks with L layers
have L connections - one between each layer and its subsequent layer - our
network has L(L+1)/2 direct connections. For each layer, the feature-maps of
all preceding layers are used as inputs, and its own feature-maps are used as
inputs into all subsequent layers. DenseNets have several compelling
advantages: they alleviate the vanishing-gradient problem, strengthen feature
propagation, encourage feature reuse, and substantially reduce the number of
parameters. We evaluate our proposed architecture on four highly competitive
object recognition benchmark tasks (CIFAR-10, CIFAR-100, SVHN, and ImageNet).
DenseNets obtain significant improvements over the state-of-the-art on most of
them, whilst requiring less computation to achieve high performance. Code and
pre-trained models are available at https://github.com/liuzhuang13/DenseNet .</t>
  </si>
  <si>
    <t>[Implementation Details.] On all datasets except ImageNet, the DenseNet used in our experiments has three dense blocks that each has an equal number of layers. Before entering the first dense block, a convolution with 16 (or twice the growth rate for DenseNet-BC) output channels is performed on the input images. For convolutional layers with kernel size 3[FORMULA] 3, each side of the inputs is zero-padded by one pixel to keep the feature-map size fixed. We use 1[FORMULA] 1 convolution followed by 2[FORMULA] 2 average pooling as transition layers between two contiguous dense blocks. At the end of the last dense block, a global average pooling is performed and then a softmax classifier is attached. The feature-map sizes in the three dense blocks are 32[FORMULA] 32, 16[FORMULA] 16, and 8[FORMULA] 8, respectively. We experiment with the basic DenseNet structure with configurations [FORMULA] , [FORMULA] and [FORMULA] . For DenseNet-BC, the networks with configurations [FORMULA] , [FORMULA] and [FORMULA] are evaluated.
 In our experiments on ImageNet, we use a DenseNet-BC structure with 4 dense blocks on 224[FORMULA] 224 input images. The initial convolution layer comprises [FORMULA] convolutions of size 7[FORMULA] 7 with stride 2; the number of feature-maps in all other layers also follow from setting [FORMULA] . The exact network configurations we used on ImageNet are shown in Table REF .</t>
  </si>
  <si>
    <t>[Pooling layers.] The concatenation operation used in Eq. (REF ) is not viable when the size of feature-maps changes. However, an essential part of convolutional networks is down-sampling layers that change the size of feature-maps. To facilitate down-sampling in our architecture we divide the network into multiple densely connected dense blocks; see Figure REF . We refer to layers between blocks as transition layers, which do convolution and pooling. The transition layers used in our experiments consist of a batch normalization layer and an 1[FORMULA] 1 convolutional layer followed by a 2[FORMULA] 2 average pooling layer.</t>
  </si>
  <si>
    <t>[Compression.] To further improve model compactness, we can reduce the number of feature-maps at transition layers. If a dense block contains [FORMULA] feature-maps, we let the following transition layer generate [FORMULA] output feature-maps, where [FORMULA] is referred to as the compression factor. When [FORMULA] , the number of feature-maps across transition layers remains unchanged. We refer the DenseNet with [FORMULA] as DenseNet-C, and we set [FORMULA] in our experiment. When both the bottleneck and transition layers with [FORMULA] are used, we refer to our model as DenseNet-BC.</t>
  </si>
  <si>
    <t>For the pancreas, however, while the segmentation result has been improved
substantially from the pre-deep learning era, the accuracy is still
relatively low compared with other organs [CITE], [CITE], [CITE], [CITE], [CITE], [[TARGET]].</t>
  </si>
  <si>
    <t>Accurate organ segmentation is the prerequisite of many subsequent
computer based analysis. In recent years, with the rapid development
of deep neural network, automatic segmentation of many organs and
tissues have achieved good results, such as segmentation of the
cortical and sub-cortical structures, lung, liver, heart,
etc.. [CITE], [CITE], [CITE], [CITE], [CITE], [CITE].
For the pancreas, however, while the segmentation result has been improved
substantially from the pre-deep learning era, the accuracy is still
relatively low compared with other organs [CITE], [CITE], [CITE], [CITE], [CITE], [[TARGET]].
This is mainly caused by several aspects: 1) the shape, size and
position of the pancreas vary greatly among different patients in
abdomen; 2) the contrast between the pancreas and surrounding
tissue is weak; 3) pancreas is relatively soft and easy to be
pushed by surrounding organs, which could result in large
deformation; 4)pancreas occupies a very small portion in the
CT image. All these factors make accurate segmentation still a
challenging task.</t>
  </si>
  <si>
    <t>Spatial Aggregation of Holistically-Nested Convolutional Neural Networks
 for Automated Pancreas Localization and Segmentation</t>
  </si>
  <si>
    <t>Accurate and automatic organ segmentation from 3D radiological scans is an
important yet challenging problem for medical image analysis. Specifically, the
pancreas demonstrates very high inter-patient anatomical variability in both
its shape and volume. In this paper, we present an automated system using 3D
computed tomography (CT) volumes via a two-stage cascaded approach: pancreas
localization and segmentation. For the first step, we localize the pancreas
from the entire 3D CT scan, providing a reliable bounding box for the more
refined segmentation step. We introduce a fully deep-learning approach, based
on an efficient application of holistically-nested convolutional networks
(HNNs) on the three orthogonal axial, sagittal, and coronal views. The
resulting HNN per-pixel probability maps are then fused using pooling to
reliably produce a 3D bounding box of the pancreas that maximizes the recall.
We show that our introduced localizer compares favorably to both a conventional
non-deep-learning method and a recent hybrid approach based on spatial
aggregation of superpixels using random forest classification. The second,
segmentation, phase operates within the computed bounding box and integrates
semantic mid-level cues of deeply-learned organ interior and boundary maps,
obtained by two additional and separate realizations of HNNs. By integrating
these two mid-level cues, our method is capable of generating
boundary-preserving pixel-wise class label maps that result in the final
pancreas segmentation. Quantitative evaluation is performed on a publicly
available dataset of 82 patient CT scans using 4-fold cross-validation (CV). We
achieve a Dice similarity coefficient (DSC) of 81.27+/-6.27% in validation,
which significantly outperforms previous state-of-the art methods that report
DSCs of 71.80+/-10.70% and 78.01+/-8.20%, respectively, using the same dataset.</t>
  </si>
  <si>
    <t>[Introduction] Pancreas segmentation in computed tomography (CT) challenges current computer-aided diagnosis (CAD) systems. While automatic segmentation of numerous other organs in CT scans, such as the liver, heart or kidneys, achieves good performance with Dice similarity coefficients (DSCs) of [FORMULA] 90% [CITE], [CITE], [CITE], the pancreas' variable shape, size, and location in the abdomen limits segmentation accuracy to [FORMULA] 73% DSC being reported in the literature [CITE], [CITE], [CITE], [CITE], [CITE], [CITE]. Previous pancreas segmentation work [CITE], [CITE], [CITE], [CITE] are all based on performing volumetric multiple atlas registration [CITE], [CITE], [CITE] and executing robust label fusion methods [CITE], [CITE], [CITE] to optimize the per-pixel organ labeling process. This type of organ segmentation strategy is widely used for many organ segmentation problems, such as the brain [CITE], [CITE], heart [CITE], lung [CITE], and pancreas [CITE], [CITE], [CITE], [CITE]. These methods can be referred as a top-down model fitting approach, or more specifically, MALF (Multi-Atlas Registration &amp; Label Fusion). Another group of top-down frameworks [CITE], [CITE], [CITE] leverages statistical model detection, e.g., generalized Hough transform [CITE] or marginal space learning [CITE], [CITE], for organ localization; and deformable statistical shape models for object segmentation. However, due to the intrinsic huge 3D shape variability of the pancreas, statistical shape modeling has not been applied for pancreas segmentation.</t>
  </si>
  <si>
    <t>[Introduction] Recently, a new bottom-up pancreas segmentation representation has been proposed in [CITE], which uses dense binary image patch labeling confidence maps that are aggregated to classify image regions, or superpixels [CITE], [CITE], [CITE], into pancreas and non-pancreas label assignments. This method's motivation is to improve segmentation accuracy of highly deformable organs, such as the pancreas, by leveraging mid-level visual representations of image segments. This work was advanced further by Roth et al.[CITE], who proposed a probabilistic bottom-up approach using a set of multi-scale and multi-level deep convolutional neural networks (CNNs) to capture the complexity of pancreas appearance in CT images. The resulting system improved upon the performance of [CITE] with a reported DSC of 71.8[FORMULA] 10.7% against 68.8[FORMULA] 25.6%. Compared to the MALF based pancreas segmentation work [CITE], [CITE], [CITE], [CITE] that are evaluated using “leave-one-patient-out” (LOO) protocol, the bottom-up approaches using superpixel representation [CITE], [CITE] have reported comparable or higher DSC accuracy measurements, under more challenging 6-fold or 4-fold cross-validationAs discussed in [CITE], LOO can be considered as an extreme case of [FORMULA] -fold cross-validation with [FORMULA] when [FORMULA] patient datasets are available for experiments. When [FORMULA] is decreasing and significantly smaller than [FORMULA] , [FORMULA] -fold CV becomes more challenging since there are less data for training and more patient cases on testing.. Comparing the two bottom-up approaches, the usage of deep CNN models has noticeably improved the performance stability, which is evident by the significantly smaller standard deviation [CITE] than all other top-down or bottom-up works [CITE], [CITE], [CITE], [CITE], [CITE].</t>
  </si>
  <si>
    <t>[Discussion &amp; Conclusion] Furthermore, using 2D views has the advantage that networks trained on much larger databases of natural images (e.g. ImageNet, BSDS500) can be used for fine-tuning to the medical domain. It has been shown that transfer learning is a viable approach when the medical imaging data set size is limited [CITE], [CITE]. 3D CNN approaches often adopt padded spatially-local sliding volumes to parse any CT scan, e.g., 96[FORMULA] 96[FORMULA] 48 [CITE], 160[FORMULA] 160[FORMULA] 72 [CITE] or 80[FORMULA] 80[FORMULA] 80 [CITE], which may cause the segmentation discontinuity or inconsistency at overlapped window boundaries. Ensemble of several neural networks trained with random configuration variations is found to be advantageous comparing a single CNN model in object recognition [CITE], [CITE], [CITE]. Our pancreas segmentation method can be indeed considered as ensembles of multiple correlated HNN models but good complementary information gain since they are trained from orthogonal axial, coronal or sagittal CT views.
In conclusion, we present a holistic deep CNN approach for pancreas localization and segmentation in abdominal CT scans, exploiting multi-view spatial pooling and combining interior and boundary mid-level cues. The robust fusion of [FORMULA] aggregating on interior holistically-nested networks (HNN-I) alone already achieve good performance at DSC of 81.14%[FORMULA] 7.30% in 4-fold CV. The other method variant HNN-RF incorporates the organ boundary responses from the HNN-B model and significantly improves the worst case pancreas segmentation accuracy in Hausdorff distance (p[FORMULA] 0.001). The highest reported DSCs of 81.27%[FORMULA] 6.27% is achieved, at the computational cost of 2[FORMULA] 3 minutes, not hours as in [CITE], [CITE], [CITE]. Our deep learning based organ segmentation approach could be generalizable to other segmentation problems with large variations and pathologies, e.g., pathological organs and tumors.
[FIGURE]</t>
  </si>
  <si>
    <t>ResNet-18 [[TARGET]]: We modify the size of all convolutional kernels to [FORMULA] and experiment with different number of feature channels in each layer.</t>
  </si>
  <si>
    <t>ResNet-18 [[TARGET]]: We modify the size of all convolutional kernels to [FORMULA] and experiment with different number of feature channels in each layer. We try light and heavy weight versions where the number of feature channels are [FORMULA] , [FORMULA] , same, or twice of the number of original channels. The input to our network is a 6-channel RGB+HHA [CITE] image. This network has been trained from scratch, similar to the baseline 3D convolution based approaches.
VGG-16 [CITE]: We particularly choose this model because it is conventionally used in previous work on the NYUv2 dataset [CITE], [CITE]. The input to this network is the standard RGB image. This model has been pre-trained on the Imagenet dataset.</t>
  </si>
  <si>
    <t>Deep Residual Learning for Image Recognition</t>
  </si>
  <si>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layers---8x deeper than VGG nets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
where we also won the 1st places on the tasks of ImageNet detection, ImageNet
localization, COCO detection, and COCO segmentation.</t>
  </si>
  <si>
    <t>[Object Detection Improvements] Multi-scale testing. In the above, all results are obtained by single-scale training/testing as in [CITE], where the image's shorter side is [FORMULA] pixels. Multi-scale training/testing has been developed in [CITE], [CITE] by selecting a scale from a feature pyramid, and in [CITE] by using maxout layers. In our current implementation, we have performed multi-scale testing following [CITE]; we have not performed multi-scale training because of limited time. In addition, we have performed multi-scale testing only for the Fast R-CNN step (but not yet for the RPN step).
With a trained model, we compute conv feature maps on an image pyramid, where the image's shorter sides are [FORMULA] . We select two adjacent scales from the pyramid following [CITE]. RoI pooling and subsequent layers are performed on the feature maps of these two scales [CITE], which are merged by maxout as in [CITE].
Multi-scale testing improves the mAP by over 2 points (Table REF ).
 Using validation data. Next we use the 80k+40k trainval set for training and the 20k test-dev set for evaluation. The test-dev set has no publicly available ground truth and the result is reported by the evaluation server. Under this setting, the results are an mAP@.5 of 55.7% and an mAP@[.5, .95] of 34.9% (Table REF ). This is our single-model result.</t>
  </si>
  <si>
    <t>[ImageNet Localization] The above results are only based on the proposal network (RPN) in Faster R-CNN [CITE]. One may use the detection network (Fast R-CNN [CITE]) in Faster R-CNN to improve the results. But we notice that on this dataset, one image usually contains a single dominate object, and the proposal regions highly overlap with each other and thus have very similar RoI-pooled features. As a result, the image-centric training of Fast R-CNN [CITE] generates samples of small variations, which may not be desired for stochastic training. Motivated by this, in our current experiment we use the original R-CNN [CITE] that is RoI-centric, in place of Fast R-CNN.
 Our R-CNN implementation is as follows. We apply the per-class RPN trained as above on the training images to predict bounding boxes for the ground truth class. These predicted boxes play a role of class-dependent proposals.
For each training image, the highest scored 200 proposals are extracted as training samples to train an R-CNN classifier. The image region is cropped from a proposal, warped to 224[FORMULA] 224 pixels, and fed into the classification network as in R-CNN [CITE]. The outputs of this network consist of two sibling fc layers for cls and reg, also in a per-class form.
This R-CNN network is fine-tuned on the training set using a mini-batch size of 256 in the RoI-centric fashion. For testing, the RPN generates the highest scored 200 proposals for each predicted class, and the R-CNN network is used to update these proposals' scores and box positions.</t>
  </si>
  <si>
    <t>[Object Detection Baselines] In this section we introduce our detection method based on the baseline Faster R-CNN [CITE] system.
The models are initialized by the ImageNet classification models, and then fine-tuned on the object detection data. We have experimented with ResNet-50/101 at the time of the ILSVRC &amp; COCO 2015 detection competitions.
 Unlike VGG-16 used in [CITE], our ResNet has no hidden fc layers. We adopt the idea of “Networks on Conv feature maps” (NoC) [CITE] to address this issue.
We compute the full-image shared conv feature maps using those layers whose strides on the image are no greater than 16 pixels (, conv1, conv2_ x, conv3_x, and conv4_x, totally 91 conv layers in ResNet-101; Table REF ). We consider these layers as analogous to the 13 conv layers in VGG-16, and by doing so, both ResNet and VGG-16 have conv feature maps of the same total stride (16 pixels).
These layers are shared by a region proposal network (RPN, generating 300 proposals) [CITE] and a Fast R-CNN detection network [CITE].
RoI pooling [CITE] is performed before conv5_1. On this RoI-pooled feature, all layers of conv5_x and up are adopted for each region, playing the roles of VGG-16's fc layers.
The final classification layer is replaced by two sibling layers (classification and box regression [CITE]).</t>
  </si>
  <si>
    <t>Despite significant progress in the previous works [CITE], [CITE], [CITE], [CITE], [CITE], [CITE], [CITE], [CITE], [CITE], [CITE], [CITE], [[TARGET]] for virtual try-on, the multi-pose virtual try-on has not been well studied.</t>
  </si>
  <si>
    <t>Image-based virtual try-on systems aim at fitting a target in-shop clothes into a reference person, which is a branch of the field of image synthesis. Driven by the rapid development of image synthesis [CITE], [CITE], [CITE], [CITE], the topic of image-based virtual try-on has attracted more interest and has vast potential applications in virtual reality and human-computer interaction. Despite significant progress in the previous works [CITE], [CITE], [CITE], [CITE], [CITE], [CITE], [CITE], [CITE], [CITE], [CITE], [CITE], [[TARGET]] for virtual try-on, the multi-pose virtual try-on has not been well studied. Concretely, for a given person image, the virtual fitting system could generate realistic images of this person in different poses while preserving the desired clothes' appearance. The multi-pose virtual fitting system is more in line with practical application scenarios. The existing works on multi-pose virtual fitting tasks are insufficient, and there are problems such as mismatch between the target clothes and the given pose, distortion of the clothes region in the try-on result, and loss of details that need to be further explored. To solve these problems, we propose a method to build a robust multi-pose virtual try-on system based on 2D images (as shown in Fig. REF ).
[FIGURE]</t>
  </si>
  <si>
    <t>WAS-VTON: Warping Architecture Search for Virtual Try-on Network</t>
  </si>
  <si>
    <t>Despite recent progress on image-based virtual try-on, current methods are
constraint by shared warping networks and thus fail to synthesize natural
try-on results when faced with clothing categories that require different
warping operations. In this paper, we address this problem by finding clothing
category-specific warping networks for the virtual try-on task via Neural
Architecture Search (NAS). We introduce a NAS-Warping Module and elaborately
design a bilevel hierarchical search space to identify the optimal
network-level and operation-level flow estimation architecture. Given the
network-level search space, containing different numbers of warping blocks, and
the operation-level search space with different convolution operations, we
jointly learn a combination of repeatable warping cells and convolution
operations specifically for the clothing-person alignment. Moreover, a
NAS-Fusion Module is proposed to synthesize more natural final try-on results,
which is realized by leveraging particular skip connections to produce
better-fused features that are required for seamlessly fusing the warped
clothing and the unchanged person part. We adopt an efficient and stable
one-shot searching strategy to search the above two modules. Extensive
experiments demonstrate that our WAS-VTON significantly outperforms the
previous fixed-architecture try-on methods with more natural warping results
and virtual try-on results.</t>
  </si>
  <si>
    <t>[Introduction] Image-based virtual try-on aims to transfer the desired clothing onto a particular person and has been rapidly developed due to the great progress in generative models [CITE], [CITE], [CITE], [CITE] as well as its large practical value.
The core challenge of virtual try-on is to find a proper warping strategy that can account for spatial misalignment between source and target clothing regions.
Existing works [CITE], [CITE], [CITE], [CITE], [CITE], [CITE], [CITE] typically solve this challenge by mimicking nonrigid clothing deformations via TPS-based methods or flow-based methods.
TPS-based methods estimate parameters of the Thin Plate Spline (TPS) [CITE] transformation to warp the in-shop clothing onto the human body. While results are overall good, the TPS transformation, due to its limited degrees of freedom (e.g., [FORMULA] as in [CITE], [CITE]), tends to fail when faced with large clothing deformations or severe occlusions (see the 1st row in Fig. REF ). To address these issues, flow-based methods [CITE] enlarge the deformation space by estimating a dense flow field (e.g., [FORMULA] in [CITE]) for higher flexibility when dealing with complex clothing deformation.
Compared to the TPS transformation,
flow-based approaches operate on the finest element in image space, i.e., the pixel-level transformation between source and target clothing regions. They, thereby, capture the spatial correspondence more accurately and consequently help realistically synthesizing the target image.
[FIGURE]</t>
  </si>
  <si>
    <t>[Qualitative Comparison with SOTAs] Fig. REF presents a visual comparison of WAS-VTON with VITON[CITE], CP-VTON[CITE], and ACGPN[CITE].
As shown in Fig. REF , VITON usually results in unrealistic warping results including visual artifacts, distorted texture, and unreasonable clothes silhouette. Though CP-VTON can alleviate those issues to some extent, the texture details are usually blurred.
Further, both VITON and CP-VTON tend to fail when the clothes are occluded by some body part.
ACGPN does better in retaining cloth texture as well as the unchanged person appearance, and with the guidance of the human parsing, it can synthesize reasonable try-on results in the occlusion scenarios. However, the edge region of the clothes in ACGPN is still blurred and there are obvious artifacts at the collar region. Moreover, all the above three methods perform poorly for the lower-body try-on.
WAS-VTON, instead, is able to preserve the clothing texture and other parts of the body well, resulting in high-quality full-body try-on results, especially in the collar and clothing silhouette regions. Thanks to the PPP module and the clothing category-specific warping network, WAS-VTON also performs well in the presence of occlusion and obtains more compelling warping results (see Fig. REF and Fig. REF ).</t>
  </si>
  <si>
    <t>[Quantitative Comparison with SOTAs] We quantitatively compare our WAS-VTON with three existing virtual try-on methods, VITON [CITE], CP-VTON [CITE], and ACGPN [CITE]. The SSIM [CITE] and the Fr[FORMULA] chet Inception Distance (FID) [CITE] are used to evaluate the warping and the final try-on results.
As shown in Table REF , our proposed WAS-VTON outperforms the other methods, evidencing that our WAS-VTON can warp clothes more accurately and synthesize more realistic try-on results.
We also conduct a user evaluation study
to assess the quality of the try-on results. 63.07% of the users consider the results from WAS-VTON more realistic, further demonstrating the superiority of the proposed WAS-VTON.
To fairly compare with the existing methods, we further test our WAS-VTON on the original virtual try-on dataset [CITE] without expanded data. As shown in Table REF , our WAS-VTON is still the best-performing approach on the original dataset.</t>
  </si>
  <si>
    <t>PSPNet [[TARGET]] was the first to employ a pyramid pooling module to extract useful context information for better performance.</t>
  </si>
  <si>
    <t>PSPNet [[TARGET]] was the first to employ a pyramid pooling module to extract useful context information for better performance. DeepLabv3+ [CITE] follows this idea and employs depth-wise separable convolution to both atrous SPP (ASPP) and the decoder module. DenseASPP [CITE] further connects a set of atrous convolutional layers in a dense way.</t>
  </si>
  <si>
    <t>Pyramid Scene Parsing Network</t>
  </si>
  <si>
    <t>Scene parsing is challenging for unrestricted open vocabulary and diverse
scenes. In this paper, we exploit the capability of global context information
by different-region-based context aggregation through our pyramid pooling
module together with the proposed pyramid scene parsing network (PSPNet). Our
global prior representation is effective to produce good quality results on the
scene parsing task, while PSPNet provides a superior framework for pixel-level
prediction tasks. The proposed approach achieves state-of-the-art performance
on various datasets. It came first in ImageNet scene parsing challenge 2016,
PASCAL VOC 2012 benchmark and Cityscapes benchmark. A single PSPNet yields new
record of mIoU accuracy 85.4% on PASCAL VOC 2012 and accuracy 80.2% on
Cityscapes.</t>
  </si>
  <si>
    <t>[Deep Supervision for ResNet-Based FCN] Deep pretrained networks lead to good performance
[CITE], [CITE], [CITE]. However, increasing depth of
the network may introduce additional optimization difficulty as shown
in [CITE], [CITE] for image classification. ResNet solves this
problem with skip connection in each block. Latter layers of deep ResNet mainly learn
residues based on previous ones.
 We contrarily propose generating initial results by supervision with an additional loss,
and learning the residue afterwards with the final loss. Thus, optimization of the deep
network is decomposed into two, each is simpler to solve.</t>
  </si>
  <si>
    <t>[Pyramid Scene Parsing Network] We start with our observation and analysis of representative failure cases when applying
FCN methods to scene parsing. They motivate proposal of our pyramid pooling module as the
effective global context prior. Our pyramid scene parsing network (PSPNet)
illustrated in Fig. REF is then described to improve performance for
open-vocabulary object and stuff identification in complex scene parsing.</t>
  </si>
  <si>
    <t>[Introduction] We propose a pyramid scene parsing network to embed difficult scenery context features in
an FCN based pixel prediction framework.
We develop an effective optimization strategy for deep ResNet [CITE] based on
deeply supervised loss.
We build a practical system for state-of-the-art scene parsing and semantic segmentation
where all crucial implementation details are included.</t>
  </si>
  <si>
    <t>As pointed out by Kalayeh et al. [[TARGET]], semantic parsing is a natural improvement for horizontal stripes because it provides labels at the pixel level, so we decided to use this insight in our framework.</t>
  </si>
  <si>
    <t>Since pose/viewpoint change are crucial issues for Re-ID, several approaches are based on separate horizontal-stripe images and compare people based on them, but such a method is not a complete solution. As pointed out by Kalayeh et al. [[TARGET]], semantic parsing is a natural improvement for horizontal stripes because it provides labels at the pixel level, so we decided to use this insight in our framework. In addition, we realized that not every part of people is equally informative; in some cases, a backpack with a bright color or other salient objects may be a clue to the Re-ID. Thus, we designed a unified framework that unities semantic parsing and saliency to improve performance. The idea of combining multiple clues is natural to this problem, because each subnet stream of the framework can learn to solve different scenarios.</t>
  </si>
  <si>
    <t>Human Semantic Parsing for Person Re-identification</t>
  </si>
  <si>
    <t>Person re-identification is a challenging task mainly due to factors such as
background clutter, pose, illumination and camera point of view variations.
These elements hinder the process of extracting robust and discriminative
representations, hence preventing different identities from being successfully
distinguished. To improve the representation learning, usually, local features
from human body parts are extracted. However, the common practice for such a
process has been based on bounding box part detection. In this paper, we
propose to adopt human semantic parsing which, due to its pixel-level accuracy
and capability of modeling arbitrary contours, is naturally a better
alternative. Our proposed SPReID integrates human semantic parsing in person
re-identification and not only considerably outperforms its counter baseline,
but achieves state-of-the-art performance. We also show that by employing a
\textit{simple} yet effective training strategy, standard popular deep
convolutional architectures such as Inception-V3 and ResNet-152, with no
modification, while operating solely on full image, can dramatically outperform
current state-of-the-art. Our proposed methods improve state-of-the-art person
re-identification on: Market-1501 by ~17% in mAP and ~6% in rank-1, CUHK03 by
~4% in rank-1 and DukeMTMC-reID by ~24% in mAP and ~10% in rank-1.</t>
  </si>
  <si>
    <t>[Introduction] In recent past, improving global (image-level) representation by leveraging local (part-level) features extracted from human body parts has been the main theme of person re-identification research. While an image-level representation is prone to background clutter and occlusion, part-level representations are supposed to be more robust. However, part detection in low resolution images has its very own challenges and any error in that stage can propagate to the entire person re-identification system. That is why some research works prefer to simply extract representations from multiple image patches, often horizontal strips, that are loosely associated to human body parts. On the other hand, almost all of the previous works which involve body parts begin with an often off-the-shelf pose estimation model and infer corresponding bounding boxes from predicted joint locations. The person re-identification systems then process the global and local representations in what can be coarsely seen as multi-branch deep convolutional neural network (CNN) architectures. These models while delivering very good results, usually consist of many sub-models that are trained in multiple stages, tailored specifically for person re-identification problem. By studying recent literature, we raise two major questions, in this paper. First, are such complex models necessary to improve the performance of person re-identification? Second, are the local features best captured using bounding boxes on human body parts?
 Addressing the first question, we show that a simple model based on Inception-V3 [CITE] with no bells and whistles, operating solely on full body images and optimized in a straightforward training procedure can outperform current state-of-the art. Unlike recent research works which commonly adopt, binary or triplet losses, we train our model using softmax cross-entropy at two different input resolutions. Using re-ranking as a post processing technique, the improvement margin further increases.</t>
  </si>
  <si>
    <t>[Conclusion] In this paper, we began by raising two major questions. First, whether to achieve state-of-the-art performance, the person re-identification models need to be complex. Second, whether bounding boxes on human body parts is the best practice to harness local visual cues. Through this paper, we addressed both of these questions with extensive set of experiments. We showed that, indeed a simple deep convolutional architecture when trained properly on large number of high resolution images can outperform the current state-of-the-art. We also demonstrated that, by exploiting human semantic parsing in our proposed SPReID framework, the performance of an state-of-the-art baseline model can be further improved. SPReID applies minimal modifications to the person re-identification backbone and offers a more natural solution for utilizing human body parts. We hope that, this work encourages the research community to invest more in employing human semantic parsing for person re-identification task.</t>
  </si>
  <si>
    <t>[Human Semantic Parsing Model] In order to exploit local cues for person re-identification, we propose to employ human semantic parsing. We argue that semantic segmentation due to its pixel-level accuracy and robustness to pose variation is naturally superior to bounding box part detection.
 We use Inception-V3 [CITE] as the backbone architecture of our human semantic parsing model. However, we make two modifications to adopt it for the semantic segmentation task. The quality of human semantic parsing heavily relies on the final activations to be of sufficient resolution. Hence, we change the stride of the last grid reduction module in the Inception-V3 [CITE] from 2 to 1 resulting in an output stride of 16 compared to 32 in the original architecture. To cope with the extra computation that consequently is added to the last Inception block, corresponding convolution filters are replaced with the dilated convolution [CITE]. We then remove the global average pooling and add an atrous spatial pyramid pooling (rates=3,6,9,12)[CITE] followed by a 1[FORMULA] 1 convolution layer as the classifier. This would allow us to perform multi-class classification in pixel-level and is a standard approach, commonly used in semantic segmentation architectures [CITE], [CITE].
[FIGURE]</t>
  </si>
  <si>
    <t>For instance, without incurring any extra training cost, Fast AdvProp helps ResNet-50 [[TARGET]] outperforms its vanilla counterpart by 0.3% on ImageNet, 2.1% on ImageNet-C, 1.9% on ImageNet-R and 0.5% on Stylized-ImageNet.</t>
  </si>
  <si>
    <t>Our empirical results demonstrate that Fast AdvProp can successfully improve recognition models for “free”. For instance, without incurring any extra training cost, Fast AdvProp helps ResNet-50 [[TARGET]] outperforms its vanilla counterpart by 0.3% on ImageNet, 2.1% on ImageNet-C, 1.9% on ImageNet-R and 0.5% on Stylized-ImageNet. Furthermore, such “free lunch” can consistently be observed when Fast AdvProp is applied to networks at different scales, combined with various data augmentation strategies, and adapted to other recognition tasks. By easing the computational barriers, we hope this work can encourage the community to further explore the potential of AdvProp (or adversarial learning in general) on developing better deep learning models.</t>
  </si>
  <si>
    <t>[Introduction] We present comprehensive experiments on ImageNet [CITE] to show the degradation problem and evaluate our method.
We show that: 1) Our extremely deep residual nets are easy to optimize, but the counterpart “plain” nets (that simply stack layers) exhibit higher training error when the depth increases; 2) Our deep residual nets can easily enjoy accuracy gains from greatly increased depth, producing results substantially better than previous networks.
 Similar phenomena are also shown on the CIFAR-10 set [CITE], suggesting that the optimization difficulties and the effects of our method are not just akin to a particular dataset. We present successfully trained models on this dataset with over 100 layers, and explore models with over 1000 layers.</t>
  </si>
  <si>
    <t>[Introduction] On the ImageNet classification dataset [CITE], we obtain excellent results by extremely deep residual nets.
Our 152-layer residual net is the deepest network ever presented on ImageNet, while still having lower complexity than VGG nets [CITE]. Our ensemble has 3.57% top-5 error on the ImageNet test set, and won the 1st place in the ILSVRC 2015 classification competition. The extremely deep representations also have excellent generalization performance on other recognition tasks, and lead us to further win the 1st places on: ImageNet detection, ImageNet localization, COCO detection, and COCO segmentation in ILSVRC &amp; COCO 2015 competitions. This strong evidence shows that the residual learning principle is generic, and we expect that it is applicable in other vision and non-vision problems.</t>
  </si>
  <si>
    <t>[Object Detection Improvements] We revisit the PASCAL VOC dataset based on the above model. With the single model on the COCO dataset (55.7% mAP@.5 in Table REF ), we fine-tune this model on the PASCAL VOC sets. The improvements of box refinement, context, and multi-scale testing are also adopted. By doing so we achieve 85.6% mAP on PASCAL VOC 2007 (Table REF ) and 83.8% on PASCAL VOC 2012 (Table REF )http://host.robots.ox.ac.uk:8080/anonymous/3OJ4OJ.html, submitted on 2015-11-26.. The result on PASCAL VOC 2012 is 10 points higher than the previous state-of-the-art result [CITE].
 ImageNet Detection
[TABLE]</t>
  </si>
  <si>
    <t>Unlike mainstream “self-supervised" feature learning work that crafts pretext tasks for large static repositories of human-taken images or video (e.g., colorization [[TARGET]], jigsaw puzzles [CITE], audio-visual correspondence [CITE], [CITE]), in interaction-based feature learning an embodied agentperson, robot, or simulated robot performs physical actions in the world that dynamically influence its own first-person observations and possibly the environment itself.</t>
  </si>
  <si>
    <t>Our approach offers a new way to learn image representations without manual supervision by interacting with the environment. In pursuit of this high-level goal there is exciting—though limited—prior work that learns visual features by touching objects [CITE], [CITE], [CITE], [CITE] or moving in a space [CITE], [CITE], [CITE]. Unlike mainstream “self-supervised" feature learning work that crafts pretext tasks for large static repositories of human-taken images or video (e.g., colorization [[TARGET]], jigsaw puzzles [CITE], audio-visual correspondence [CITE], [CITE]), in interaction-based feature learning an embodied agentperson, robot, or simulated robot performs physical actions in the world that dynamically influence its own first-person observations and possibly the environment itself. Both paths have certain advantages: while conventional self-supervised learning can capitalize on massive static datasets of human-taken photos, interaction-based learning
allows an agent to “learn by acting" with rich multi-modal sensing. This has the advantage of learning features adaptable to new environments. Unlike any prior work, we explore feature learning from echoes.</t>
  </si>
  <si>
    <t>Colorful Image Colorization</t>
  </si>
  <si>
    <t>Given a grayscale photograph as input, this paper attacks the problem of
hallucinating a plausible color version of the photograph. This problem is
clearly underconstrained, so previous approaches have either relied on
significant user interaction or resulted in desaturated colorizations. We
propose a fully automatic approach that produces vibrant and realistic
colorizations. We embrace the underlying uncertainty of the problem by posing
it as a classification task and use class-rebalancing at training time to
increase the diversity of colors in the result. The system is implemented as a
feed-forward pass in a CNN at test time and is trained on over a million color
images. We evaluate our algorithm using a "colorization Turing test," asking
human participants to choose between a generated and ground truth color image.
Our method successfully fools humans on 32% of the trials, significantly higher
than previous methods. Moreover, we show that colorization can be a powerful
pretext task for self-supervised feature learning, acting as a cross-channel
encoder. This approach results in state-of-the-art performance on several
feature learning benchmarks.</t>
  </si>
  <si>
    <t>[Introduction] Evaluating synthesized images is notoriously difficult [CITE]. Since our ultimate goal is to make results that are compelling to a human observer, we introduce a novel way of evaluating colorization results, directly testing their perceptual realism. We set up a “colorization Turing test," in which we show participants real and synthesized colors for an image, and ask them to identify the fake. In this quite difficult paradigm, we are able to fool participants on [FORMULA] of the instances (ground truth colorizations would achieve 50% on this metric), significantly higher than prior work [CITE]. This test demonstrates that in many cases, our algorithm is producing nearly photorealistic results (see Figure REF for selected successful examples from our algorithm). We also show that our system's colorizations are realistic enough to be useful for downstream tasks, in particular object classification, using an off-the-shelf VGG network [CITE].
 We additionally explore colorization as a form of self-supervised representation learning, where raw data is used as its own source of supervision. The idea of learning feature representations in this way goes back at least to autoencoders [CITE]. More recent works have explored feature learning via data imputation, where a held-out subset of the complete data is predicted (e.g., [CITE], [CITE], [CITE], [CITE], [CITE], [CITE], [CITE]). Our method follows in this line, and can be termed a cross-channel encoder. We test how well our model performs in generalization tasks, compared to previous [CITE], [CITE], [CITE], [CITE] and concurrent [CITE] self-supervision algorithms, and find that our method performs surprisingly well, achieving state-of-the-art performance on several metrics.</t>
  </si>
  <si>
    <t>[Introduction] Our contributions in this paper are in two areas. First, we make progress on the graphics problem of automatic image colorization by (a) designing an appropriate objective function that handles the multimodal uncertainty of the colorization problem and captures a wide diversity of colors, (b) introducing a novel framework for testing colorization algorithms, potentially applicable to other image synthesis tasks, and (c) setting a new high-water mark on the task by training on a million color photos. Secondly, we introduce the colorization task as a competitive and straightforward method for self-supervised representation learning, achieving state-of-the-art results on several benchmarks.
 Prior work on colorization Colorization algorithms mostly differ in the ways they obtain and treat the data for modeling the correspondence between grayscale and color. Non-parametric methods, given an input grayscale image, first define one or more color reference images (provided by a user or retrieved automatically) to be used as source data.
Then, following the Image Analogies framework [CITE], color is transferred onto the input image from analogous regions of the reference image(s) [CITE], [CITE], [CITE], [CITE]. Parametric methods, on the other hand, learn prediction functions from large datasets of color images at training time, posing the problem as either regression onto continuous color space [CITE], [CITE], [CITE] or classification of quantized color values [CITE]. Our method also learns to classify colors, but does so with a larger model, trained on more data, and with several innovations in the loss function and mapping to a final continuous output.</t>
  </si>
  <si>
    <t>[Introduction] Given the lightness channel [FORMULA] , our system predicts the corresponding [FORMULA] and [FORMULA] color channels of the image in the CIE [FORMULA] colorspace. To solve this problem, we leverage large-scale data. Predicting color has the nice property that training data is practically free: any color photo can be used as a training example, simply by taking the image's [FORMULA] channel as input and its [FORMULA] channels as the supervisory signal. Others have noted the easy availability of training data, and previous works have trained convolutional neural networks (CNNs) to predict color on large datasets [CITE], [CITE]. However, the results from these previous attempts tend to look desaturated. One explanation is that [CITE], [CITE] use loss functions that encourage conservative predictions. These losses are inherited from standard regression problems, where the goal is to minimize Euclidean error between an estimate and the ground truth.
 We instead utilize a loss tailored to the colorization problem. As pointed out by [CITE], color prediction is inherently multimodal – many objects can take on several plausible colorizations. For example, an apple is typically red, green, or yellow, but unlikely to be blue or orange. To appropriately model the multimodal nature of the problem, we predict a distribution of possible colors for each pixel. Furthermore, we re-weight the loss at training time to emphasize rare colors. This encourages our model to exploit the full diversity of the large-scale data on which it is trained. Lastly, we produce a final colorization by taking the annealed-mean of the distribution. The end result is colorizations that are more vibrant and perceptually realistic than those of previous approaches.
[FIGURE]</t>
  </si>
  <si>
    <t>For an overview of this area, we refer the reader to several survey papers [CITE], [[TARGET]], [CITE], [CITE].</t>
  </si>
  <si>
    <t>Another direction closely related to the current research is community detection. For an overview of this area, we refer the reader to several survey papers [CITE], [[TARGET]], [CITE], [CITE].
Many community detection algorithms are based on optimizing modularity [CITE], which measures the goodness of a partition for a given graph.
Probably the most well-known and widely used greedy modularity optimization algorithm is Louvain [CITE], which iteratively moves nodes or groups of nodes from one community to another while improving modularity.
Some of the methods discussed in this paper are based on the Louvain algorithm.</t>
  </si>
  <si>
    <t>A Classification for Community Discovery Methods in Complex Networks</t>
  </si>
  <si>
    <t>In the last few years many real-world networks have been found to show a
so-called community structure organization. Much effort has been devoted in the
literature to develop methods and algorithms that can efficiently highlight
this hidden structure of the network, traditionally by partitioning the graph.
Since network representation can be very complex and can contain different
variants in the traditional graph model, each algorithm in the literature
focuses on some of these properties and establishes, explicitly or implicitly,
its own definition of community. According to this definition it then extracts
the communities that are able to reflect only some of the features of real
communities. The aim of this survey is to provide a manual for the community
discovery problem. Given a meta definition of what a community in a social
network is, our aim is to organize the main categories of community discovery
based on their own definition of community. Given a desired definition of
community and the features of a problem (size of network, direction of edges,
multidimensionality, and so on) this review paper is designed to provide a set
of approaches that researchers could focus on.</t>
  </si>
  <si>
    <t>[Internal Density] The second level of the modularity usage in the graph partitioning task is represented by community discovery algorithms that are based on modularity maximization. These algorithms suffer from the aforementioned problems of the usage of modularity as quality measures. However, modularity maximization is a very prolific field of research, and there are many algorithms relying on heuristics and strategies for finding the best network partition.
 We will present the main example of a modularity-based approach, providing references for minor modularity maximization algorithms. A good review of the eigenvector modularity based work is in [CITE]).</t>
  </si>
  <si>
    <t>[Closeness] Algorithms in this category inherit the weakness in multidimensional networks from Bridge Detection algorithms, since also in this case paths are important in this community discovery category.
 To the best of our knowledge there are three main community discoverers that use random walks in order to find communities whose members are very close to each other: Walktrap [CITE], based on the assumption that when performing random walks the virtual surfer is trapped in the high density regions of the graph (i.e. the communities); DOCS [CITE], a more complex framework that also uses modularity as a fitness function; and Infomap [CITE], which applies an information-theoretic approach. An older approach in this category is the Markov Cluster Algorithm [CITE], which is still commonly used especially in bioinformatics. It simulates a controlled flow through random walks in a network using matrix multiplication and inflation.</t>
  </si>
  <si>
    <t>[Evolutionary* {{cite:e1cc616b41c667bf7a4ae9bb4af34083e1e0aea5}}] This framework can be added to any clustering algorithm. The time complexity will be [FORMULA] , particularly on the agglomerative hierarchical clustering, used for the examples in the original paper, although some authors claim that a quasi-linear implementation [CITE] is possible. However, the framework is presented here because it is possible to apply its principles to all the other community discovery algorithms presented in this survey.
 There are two framework applications worth noting. The first is FacetNet [CITE], in which a framework to evaluate the evolution of the communities is developed. The second one is [CITE], in which the concepts of nano-communities and k-clique-by-clique are introduced. These concepts are useful for assessing the snapshots and historical quality of the communities identified in various snapshots with any given method.</t>
  </si>
  <si>
    <t>In contrast to previous methods called image-specific perturbations having to perform computation every time to generate a particular perturbation for any given image,
Moosavi-Dezfooli et al. [[TARGET]] proposed an image-agnostic perturbation termed universal adversarial perturbation (UAP), which can fool most images from a data distribution.</t>
  </si>
  <si>
    <t>Convolutional neural networks (CNN) have been the state-of-the-art solution for a wide range of computer vision tasks, such as image classification, image segmentation and objective detection.
Despite the remarkable success, deep learning models have shown to be vulnerable to small perturbations to the input image.
Various attack techniques have been proposed, like model distillation [CITE], [CITE], transfer learning [CITE], [CITE], and gradient updating [CITE].
In contrast to previous methods called image-specific perturbations having to perform computation every time to generate a particular perturbation for any given image,
Moosavi-Dezfooli et al. [[TARGET]] proposed an image-agnostic perturbation termed universal adversarial perturbation (UAP), which can fool most images from a data distribution.
Being universal, UAPs can be conveniently exploited to perturb unseen datapoints on-the-fly without extra computation.
Therefore, UAPs are particularly useful in a wide range of applications.</t>
  </si>
  <si>
    <t>Universal adversarial perturbations</t>
  </si>
  <si>
    <t>Given a state-of-the-art deep neural network classifier, we show the
existence of a universal (image-agnostic) and very small perturbation vector
that causes natural images to be misclassified with high probability. We
propose a systematic algorithm for computing universal perturbations, and show
that state-of-the-art deep neural networks are highly vulnerable to such
perturbations, albeit being quasi-imperceptible to the human eye. We further
empirically analyze these universal perturbations and show, in particular, that
they generalize very well across neural networks. The surprising existence of
universal perturbations reveals important geometric correlations among the
high-dimensional decision boundary of classifiers. It further outlines
potential security breaches with the existence of single directions in the
input space that adversaries can possibly exploit to break a classifier on most
natural images.</t>
  </si>
  <si>
    <t>[Introduction] The robustness of image classifiers to structured and unstructured perturbations have recently attracted a lot of attention [CITE], [CITE], [CITE], [CITE], [CITE], [CITE], [CITE], [CITE]. Despite the impressive performance of deep neural network architectures on challenging visual classification benchmarks [CITE], [CITE], [CITE], [CITE], these classifiers were shown to be highly vulnerable to perturbations. In [CITE], such networks are shown to be
unstable to very small and often imperceptible additive adversarial perturbations. Such carefully crafted perturbations are either estimated by solving an optimization problem [CITE], [CITE], [CITE] or through one step of gradient ascent [CITE], and result in a perturbation that fools a specific data point. A fundamental property of these adversarial perturbations is their intrinsic dependence on datapoints: the perturbations are specifically crafted for each data point independently. As a result, the computation of an adversarial perturbation for a new data point requires solving a data-dependent optimization problem from scratch, which uses the full knowledge of the classification model. This is different from the universal perturbation considered in this paper, as we seek a single perturbation vector that fools the network on most natural images. Perturbing a new datapoint then only involves the mere addition of the universal perturbation to the image (and does not require solving an optimization problem/gradient computation). Finally, we emphasize that our notion of universal perturbation differs from the generalization of adversarial perturbations studied in [CITE], where perturbations computed on the MNIST task were shown to generalize well across different models. Instead, we examine the existence of universal perturbations that are common to most data points belonging to the data distribution.</t>
  </si>
  <si>
    <t>[Introduction] We show the existence of universal image-agnostic perturbations for state-of-the-art deep neural networks.
We propose an algorithm for finding such perturbations. The algorithm seeks a universal perturbation for a set of training points, and proceeds by aggregating atomic perturbation vectors that send successive datapoints to the decision boundary of the classifier.
We show that universal perturbations have a remarkable generalization property, as perturbations computed for a rather small set of training points fool new images with high probability.
We show that such perturbations are not only universal across images, but also generalize well across deep neural networks. Such perturbations are therefore doubly universal, both with respect to the data and the network architectures.
We explain and analyze the high vulnerability of deep neural networks to universal perturbations by examining the geometric correlation between different parts of the decision boundary.</t>
  </si>
  <si>
    <t>[Introduction] Can we find a single small image perturbation that fools a state-of-the-art deep neural network classifier on all natural images? We show in this paper the existence of such quasi-imperceptible universal perturbation vectors that lead to misclassify natural images with high probability. Specifically, by adding such a quasi-imperceptible perturbation to natural images, the label estimated by the deep neural network is changed with high probability (see Fig. REF ). Such perturbations are dubbed universal, as they are image-agnostic. The existence of these perturbations is problematic when the classifier is deployed in real-world (and possibly hostile) environments, as they can be exploited by adversaries to break the classifier. Indeed, the perturbation process involves the mere addition of one very small perturbation to all natural images, and can be relatively straightforward to implement by adversaries in real-world environments, while being relatively difficult to detect as such perturbations are very small and thus do not significantly affect data distributions. The surprising existence of universal perturbations further reveals new insights on the topology of the decision boundaries of deep neural networks. We summarize the main contributions of this paper as follows:</t>
  </si>
  <si>
    <t>For deeper insights into DIS dataset, we compare our DIS5K against 19 other related datasets including: (1) nine salient object detection (SOD) datasets: SOD [CITE], PASCAL-S [CITE], ECSSD [CITE], HKU-IS [CITE], MSRA-B [CITE], DUT-OMRON [CITE], MSRA10K [CITE], DUTS [CITE], and SOC [[TARGET]]; (2) two high-resolution salient object detection (HR-SOD) datasets: HR-SOD [CITE] and HR-DAVIS-S [CITE], [CITE]; (3) four camouflaged object detection (COD) datasets: CAMO [CITE], CHAMELEON [CITE], COD10K [CITE], and NC4K [CITE]; (4) two semantic segmentation (SMS)It is worth noting that only R-PASCAL and the BIG datasets are included here because they target highly accurate segmentation, and most of their images contain one or two objects, which is comparable to the listed tasks and datasets. datasets: R-PASCAL [CITE], [CITE] and [...]</t>
  </si>
  <si>
    <t>For deeper insights into DIS dataset, we compare our DIS5K against
19 other related datasets including:
(1) nine salient object detection (SOD) datasets: SOD [CITE], PASCAL-S [CITE], ECSSD [CITE],
HKU-IS [CITE], MSRA-B [CITE],
DUT-OMRON [CITE], MSRA10K [CITE], DUTS [CITE], and SOC [[TARGET]];
(2) two high-resolution salient object detection (HR-SOD) datasets: HR-SOD [CITE] and HR-DAVIS-S [CITE], [CITE];
(3) four camouflaged object detection (COD) datasets: CAMO [CITE], CHAMELEON [CITE], COD10K [CITE], and NC4K [CITE];
(4) two semantic segmentation (SMS)It is worth noting that only R-PASCAL and the BIG datasets are included here because they target highly accurate segmentation, and most of their images contain one or two objects, which is comparable to the listed tasks and datasets. datasets: R-PASCAL [CITE], [CITE] and BIG [CITE];
(5) two thin object segmentation (TOS) datasets: COIFT [CITE] and ThinObject5K [CITE].
The comparisons are conducted mainly from the following three perspectives: image number, image dimension, and object complexity as illustrated in Tab. REF</t>
  </si>
  <si>
    <t>Salient Objects in Clutter: Bringing Salient Object Detection to the
 Foreground</t>
  </si>
  <si>
    <t>We provide a comprehensive evaluation of salient object detection (SOD)
models. Our analysis identifies a serious design bias of existing SOD datasets
which assumes that each image contains at least one clearly outstanding salient
object in low clutter. The design bias has led to a saturated high performance
for state-of-the-art SOD models when evaluated on existing datasets. The
models, however, still perform far from being satisfactory when applied to
real-world daily scenes. Based on our analyses, we first identify 7 crucial
aspects that a comprehensive and balanced dataset should fulfill. Then, we
propose a new high quality dataset and update the previous saliency benchmark.
Specifically, our SOC (Salient Objects in Clutter) dataset, includes images
with salient and non-salient objects from daily object categories. Beyond
object category annotations, each salient image is accompanied by attributes
that reflect common challenges in real-world scenes. Finally, we report
attribute-based performance assessment on our dataset.</t>
  </si>
  <si>
    <t>[Metric Statistics] Single-task:
For the single-task models, the best performing
model on the entire SOC dataset ([FORMULA] in Table REF ) is NLDF [CITE] ([FORMULA] ),
followed by RFCN [CITE] ([FORMULA] ).
MDF [CITE] and AMU [CITE]
use edge cues to promote the saliency map
but fail to achieve the ideal goal.
Aiming at using the local region information of
images, MC [CITE], MDF [CITE],
ELD [CITE], and DISC [CITE] try
to use superpixel methods to segment images into regions
and then extract features from these regions, which is complex and time-consuming.
To further
improve the performance, UCF [CITE],
DSS [CITE], NLDF [CITE], and
AMU [CITE] utilize the FCN to improve the performance of SOD ([FORMULA] in Table REF ).
Some other methods such as DCL [CITE] and IMC [CITE] try to combine superpixels with FCN to build a powerful model.
Furthermore, RFCN [CITE] combines two
related cues including edges and superpixels into FCN to obtain the good performance ([FORMULA] , [FORMULA] ) over the overall dataset.
Multi-task:
Different from models mentioned above, MSR [CITE] detects
the instance-level salient objects using three closely related steps:
estimating saliency maps, detecting salient object contours, and
identifying salient object instances.
It creates a multi-scale saliency refinement network that
results in the highest performance ([FORMULA] ).
Other two multi-task models DS [CITE] and
WSS [CITE] utilize the segmentation and
classification results simultaneously to generate the saliency maps,
obtaining a moderate performance. It is worth mentioning that although WSS is a weakly supervised multi-task model, it still achieves comparable performance to other
single-task, fully supervised models. So, the weakly-supervised and
multi-task based models can be promising future directions.</t>
  </si>
  <si>
    <t>[The Proposed Dataset] 6) High-Quality Salient Object Labeling.
As also noticed in [CITE], training on
the ECSSD dataset (1,000) allows to achieve better results than
other datasets (e.g., MSRA10K, with 10,000 images).
Besides the scale, dataset quality is also an important factor.
To obtain a large amount of high quality images,
we randomly select images from the MSCOCO dataset [CITE],
which is a large-scale real-world dataset
whose objects are labeled with polygons (i.e., coarse labeling).
High-quality labels also play a
critical role in improving the accuracy of SOD models [CITE].
Toward this end, we relabel the dataset with pixel-wise annotations.
Similar to famous SOD task oriented benchmark datasets [CITE], [CITE], [CITE], [CITE], [CITE], [CITE], [CITE], [CITE], [CITE], [CITE], [CITE], we did not use the eye tracker device.
We have taken a number of steps to provide
the high-quality of the annotations.
These steps include two stages: In the bounding boxes (bboxes) stage, (i)
we ask 5 viewers to annotate objects with bboxes that they think are
salient in each image.
(ii) keep the images which majority ([FORMULA] ) viewers
annotated the same (the IOU of the bbox [FORMULA] ) object.
After the first stage, we have
3,000 salient object images annotated with bboxes.
In the second stage, we further manually label the accurate silhouettes
of the salient objects according
to the bboxes. Note that we have 10 volunteers involved in the whole steps for
cross-check the quality of annotations.
In the end, we keep 3,000 images with high-quality, instance-level labeled
salient objects. As shown in Fig. REF (b,d),
the boundaries of our object labels are precise, sharp and smooth. During the
annotation process, we also add some new categories
(e.g., computer monitor, hat, pillow) that are not labeled in
the MSCOCO dataset [CITE].
[TABLE][FIGURE]</t>
  </si>
  <si>
    <t>[The Proposed Dataset] Based on the characteristics of non-salient objects, we collected 783 texture images from the DTD [CITE] dataset.
To enrich the diversity, 2217 images including aurora, sky,
crowds, store and many other kinds of realistic scenes were gathered from the Internet and other datasets [CITE], [CITE], [CITE], [CITE].
We believe that incorporating enough non-salient objects would open up a promising direction for future works.
 2) Number and Category of Images.
A considerably large amount of images is essential to capture the diversity
and abundance of real-world scenes.
Moreover, with large amounts of data, SOD models can avoid over-fitting and enhance generalization.
To this end, we gathered 6,000 images from more than 80 categories,
containing 3,000 images with salient objects and 3,000 images without salient
objects.
We divide our dataset into training set,
validation set and test set in the ratio of 6:2:2.
To ensure fairness, the test set is not published,
but with the on-line testing provided on our websitehttp://dpfan.net/SOCBenchmark/.
Fig. REF (a) shows the number of salient objects for each category.
It shows that the “person” category accounts for a large proportion,
which is reasonable as people usually
appear in daily scenes along with other objects.
[FIGURE]</t>
  </si>
  <si>
    <t>However, it has been shown that the dependencies between scheduled UEs in the uplink and their associated BSs are very weak [[TARGET]].</t>
  </si>
  <si>
    <t>We still use dominant interferer analysis to derive the coverage probability of mmWave D2D links. However, to account for interference, we introduce a multiplexing factor [FORMULA] such that uplink inteferers can be approximated by a homogeneous PPP with intensity [FORMULA]  [CITE].Note that uplink interferers do not necessarily form a homogeneous PPP if the BSs form a homogeneous PPP [CITE]. However, it has been shown that the dependencies between scheduled UEs in the uplink and their associated BSs are very weak [[TARGET]]. We have the following result. The proof is omitted because it is similar to that of Theorem REF .</t>
  </si>
  <si>
    <t>Analytical Modeling of Uplink Cellular Networks</t>
  </si>
  <si>
    <t>Team (pooled)</t>
  </si>
  <si>
    <t>Cellular uplink analysis has typically been undertaken by either a simple
approach that lumps all interference into a single deterministic or random
parameter in a Wyner-type model, or via complex system level simulations that
often do not provide insight into why various trends are observed. This paper
proposes a novel middle way using point processes that is both accurate and
also results in easy-to-evaluate integral expressions based on the Laplace
transform of the interference. We assume mobiles and base stations are randomly
placed in the network with each mobile pairing up to its closest base station.
Compared to related recent work on downlink analysis, the proposed uplink model
differs in two key features. First, dependence is considered between user and
base station point processes to make sure each base station serves a single
mobile in the given resource block. Second, per-mobile power control is
included, which further couples the transmission of mobiles due to
location-dependent channel inversion. Nevertheless, we succeed in deriving the
coverage (equivalently outage) probability of a typical link in the network.
This model can be used to address a wide variety of system design questions in
the future. In this paper we focus on the implications for power control and
see that partial channel inversion should be used at low
signal-to-interference-plus-noise ratio (SINR), while full power transmission
is optimal at higher SINR.</t>
  </si>
  <si>
    <t>[Coverage probability ] The net interference at a randomly chosen base station is the sum of the powers from all the transmitting mobiles lying farther than [FORMULA] . Under the power control model described in the previous section, this power depends upon the distance of a mobile to its corresponding base station and the power control factor [FORMULA] . For a mobile [FORMULA] , we denote its distance to the corresponding base station as [FORMULA] . Although the random variables [FORMULA] are identically distributed, they are not independent in general. However, as shown later in this section, this dependence is weak and we will henceforth assume each [FORMULA] to be i.i.d. (Assumption 2).
Under this independence assumption, we first derive the coverage probability for the general distribution of [FORMULA] and then use this general result to study two particular scenarios corresponding to non-uniform and regular coverage regions. The main uplink coverage probability result of this paper is stated in Theorem REF .
 Theorem 1 (Uplink coverage for i.i.d. [FORMULA] ) 
The uplink coverage probability is given by:
[FORMULA]</t>
  </si>
  <si>
    <t>[Downlink vs. Uplink Coverage] In Fig. REF , we plot the [FORMULA] distribution for both these cases and observe that the two models are close enough to facilitate the direct comparison of the downlink analytical results derived in [CITE] and the uplink ones derived in this paper.
 The downlink coverage probability, which assumes constant power transmissions across the network, has two major terms. The first term is based on [FORMULA] and is not dependent on transmit power and represents the interference-limited contribution to the [FORMULA] , while the second term depends on the noise power [FORMULA] and transmit power [FORMULA] , representing the noise-limited part of the [FORMULA] . However, the use of fractional power control in the uplink significantly changes the shape of the distribution of the interference power. This can be seen in both the noise-limited term with [FORMULA] and the Laplace transform of the interference, which are dependent on [FORMULA] and the distribution of [FORMULA] since the transmit powers of the mobiles throughout the network are not constant, but highly variable unlike the downlink.</t>
  </si>
  <si>
    <t>[System Setup and Modeling Assumptions] from which the probability density function (pdf) of [FORMULA] follows:
[FORMULA] 
 To model uplink interference, the randomly chosen base station is assumed to be located at the origin, which follows from the the translation invariance of the point process under Assumption 1. We denote the set of interfering mobiles by [FORMULA] , the distance of an interfering mobile [FORMULA] to the base station of interest by [FORMULA] , and the distance of the interfering mobile to its serving base station by [FORMULA] . It should be noted that the random variables [FORMULA] are identically distributed but not independent in general. The dependence is induced by the structure of Poisson-Voronoi tessellation and the restriction that only one base station can lie in each Voronoi cell. To visualize this dependence, recall a simple fact that the presence of a base station in a particular Voronoi cell forbids the presence of any other base station in that cell. However, as discussed in detail in the next section, this dependence is weak, which motivates the following independence assumption.</t>
  </si>
  <si>
    <t>Although CycleGAN [[TARGET]] is a popular architecture trained without paired data by a cycle consistency loss, it still suffers from large chromatic aberration, severe artifacts and model redundancy when handling BID task (See Figure REF ).</t>
  </si>
  <si>
    <t>We propose a lightweight and real-time baseline (FCL-GAN) for unsupervised BID. FCL-GAN drives the task by a frequency-domain contrastive loss constrained lightweight CycleGAN, as shown in Figure REF . Two new collaborative units, called lightweight domain conversion unit (LDCU) and parameter-free frequency-domain contrast unit (PFCU), are designed, which jointly makes sure “lightweight” and “real-time”, in addition to overcoming the limitations of current unsupervised methods. To the best of our knowledge, this is the first lightweight and real-time deep unsupervised BID method, which can be regarded as a guiding method for future research.
Although CycleGAN [[TARGET]] is a popular architecture trained without paired data by a cycle consistency loss, it still suffers from large chromatic aberration, severe artifacts and model redundancy when handling BID task (See Figure REF ). As such, we disassemble and analyze the model structure and basic constituent units, and present a novel lightweight domain conversion unit (LDCU), which can deblur the degraded images better in a lightweight and real-time manner.
To further improve the deblur performance without extra parameters, we introduce a new concept of frequency-domain contrastive learning (FCL), and present a parameter-free frequency-domain contrastive unit (PFCU) to measure the similarity between latent representations in frequency domain as a contrastive constraint. FCL can also address the shortcomings of contrastive learning on deblur task.
Extensive simulations on several datasets demonstrated the SOTA unsupervised deblur performance of our FCL-GAN, with stonger generalization ability to handle real-world blurs. To be specific, FCL-GAN allows for a smaller model size (24.6MB vs. 606.8MB) and less inference time (0.011s vs. 0.062s), compared with current SOTA method.</t>
  </si>
  <si>
    <t>Unpaired Image-to-Image Translation using Cycle-Consistent Adversarial
 Networks</t>
  </si>
  <si>
    <t>← κ columns: mean over people who voted</t>
  </si>
  <si>
    <t>Strict: the vote equals the key's answer. Lenient: the vote equals the answer or the key's "Also acceptable" label (fixed in the key before the meeting).</t>
  </si>
  <si>
    <t>Cohen κ = (po − pe) / (1 − pe). po = matches / answered. pe = Σ over categories of (person's count × key's count) / answered², counted on the citations the person answered.</t>
  </si>
  <si>
    <t>Cohen κ lenient: where a vote equals the "Also acceptable" label, the key is taken to be that label for this person (helper block below), then the same formula.</t>
  </si>
  <si>
    <t>Proposal target κ ≥ 0.6 is between annotators (Fleiss / Cohen between people), not against the key.</t>
  </si>
  <si>
    <t>Image-to-image translation is a class of vision and graphics problems where
the goal is to learn the mapping between an input image and an output image
using a training set of aligned image pairs. However, for many tasks, paired
training data will not be available. We present an approach for learning to
translate an image from a source domain $X$ to a target domain $Y$ in the
absence of paired examples. Our goal is to learn a mapping $G: X \rightarrow Y$
such that the distribution of images from $G(X)$ is indistinguishable from the
distribution $Y$ using an adversarial loss. Because this mapping is highly
under-constrained, we couple it with an inverse mapping $F: Y \rightarrow X$
and introduce a cycle consistency loss to push $F(G(X)) \approx X$ (and vice
versa). Qualitative results are presented on several tasks where paired
training data does not exist, including collection style transfer, object
transfiguration, season transfer, photo enhancement, etc. Quantitative
comparisons against several prior methods demonstrate the superiority of our
approach.</t>
  </si>
  <si>
    <t>Cohen helper: counts per category (P = person's votes, K = key on the citations the person answered, KL = lenient key)</t>
  </si>
  <si>
    <t>Category</t>
  </si>
  <si>
    <t>[Full Objective] Notice that our model can be viewed as training two “autoencoders" [CITE]: we learn one autoencoder [FORMULA] jointly with another [FORMULA] . However, these autoencoders each have special internal structures: they map an image to itself via an intermediate representation that is a translation of the image into another domain. Such a setup can also be seen as a special case of “adversarial autoencoders" [CITE], which use an adversarial loss to train the bottleneck layer of an autoencoder to match an arbitrary target distribution. In our case, the target distribution for the [FORMULA] autoencoder is that of the domain [FORMULA] .
 In Section REF , we compare our method against ablations of the full objective, including the adversarial loss [FORMULA] alone and the cycle consistency loss [FORMULA] alone, and empirically show that both objectives play critical roles in arriving at high-quality results. We also evaluate our method with only cycle loss in one direction and show that a single cycle is not sufficient to regularize the training for this under-constrained problem.</t>
  </si>
  <si>
    <t>[Introduction] These issues call for adding more structure to our objective. Therefore, we exploit the property that translation should be “cycle consistent", in the sense that if we translate, e.g., a sentence from English to French, and then translate it back from French to English, we should arrive back at the original sentence [CITE]. Mathematically, if we have a translator [FORMULA] and another translator [FORMULA] , then [FORMULA] and [FORMULA] should be inverses of each other, and both mappings should be bijections. We apply this structural assumption by training both the mapping [FORMULA] and [FORMULA] simultaneously, and adding a cycle consistency loss [CITE] that encourages [FORMULA] and [FORMULA] . Combining this loss with adversarial losses on domains [FORMULA] and [FORMULA] yields our full objective for unpaired image-to-image translation.
 We apply our method to a wide range of applications, including collection style transfer, object transfiguration, season transfer and photo enhancement. We also compare against previous approaches that rely either on hand-defined factorizations of style and content, or on shared embedding functions, and show that our method outperforms these baselines. We provide both PyTorch and Torch implementations. Check out more results at our website.
[FIGURE]</t>
  </si>
  <si>
    <t>[Applications] We demonstrate our method on several applications where paired training data does not exist. Please refer to the appendix (Section ) for more details about the datasets. We observe that translations on training data are often more appealing than those on test data, and full results of all applications on both training and test data can be viewed on our project website.
 Collection style transfer (Figure REF and  Figure REF ) We train the model on landscape photographs downloaded from Flickr and WikiArt. Unlike recent work on “neural style transfer" [CITE], our method learns to mimic the style of an entire collection of artworks, rather than transferring the style of a single selected piece of art. Therefore, we can learn to generate photos in the style of, e.g., Van Gogh, rather than just in the style of Starry Night. The size of the dataset for each artist/style was 526, 1073, 400, and 563 for Cezanne, Monet, Van Gogh, and Ukiyo-e.</t>
  </si>
  <si>
    <t>To reduce the time cost, we employ the shift and element-wise product operators, in which shift [[TARGET]] is a zero-flop zero-parameter operation, and element-wise product requires little calculation.</t>
  </si>
  <si>
    <t>Since the kernel of our feature extraction network is trained and generated by the depth map, it is sample-specific and position-specific, as in [CITE], [CITE], and thus can capture meaningful local structures as the point-based operator in point clouds.
We first introduce the idea of depth-wise convolution [CITE] to the network, termed depth-wise local convolution (DLCN).
Generally, depth-wise convolution (DCN) involves a set of global filters, where each filter only operates at its corresponding channel, while DLCN requires a feature volume of local filters the same size as the input feature maps. As the generated filters are actually a feature volume, a naive way to perform DLCN requires to convert the feature volume into [FORMULA] location-specific filters and then apply depth-wise and local convolutions to the feature maps, where [FORMULA] and [FORMULA] are the height and width of the feature maps at layer [FORMULA] . This implementation would be time-consuming as it ignores the redundant computations in neighboring pixels.
To reduce the time cost, we employ the shift and element-wise product operators, in which shift [[TARGET]] is a zero-flop zero-parameter operation, and element-wise product requires little calculation. Concretely, let [FORMULA] and [FORMULA] be the output of the feature extraction network and filter generation network, respectively, where [FORMULA] is the index of the block (note that block [FORMULA] corresponds to the layer [FORMULA] in ResNet). Let [FORMULA] denote the kernel size of the feature extraction network.
By defining a shifting grid [FORMULA] that contains [FORMULA] elements, for every vector [FORMULA] , we shift the whole feature map [FORMULA] towards the direction and step size indicated by [FORMULA] and get the result [FORMULA] . For example, [FORMULA] when [FORMULA] , and the feature map is moved towards nine directions with a horizontal or vertical step size of 0 or 1.
We then use the sum and element-wise product operations to compute our filtering result:
[FORMULA]</t>
  </si>
  <si>
    <t>Shift: A Zero FLOP, Zero Parameter Alternative to Spatial Convolutions</t>
  </si>
  <si>
    <t>Neural networks rely on convolutions to aggregate spatial information.
However, spatial convolutions are expensive in terms of model size and
computation, both of which grow quadratically with respect to kernel size. In
this paper, we present a parameter-free, FLOP-free "shift" operation as an
alternative to spatial convolutions. We fuse shifts and point-wise convolutions
to construct end-to-end trainable shift-based modules, with a hyperparameter
characterizing the tradeoff between accuracy and efficiency. To demonstrate the
operation's efficacy, we replace ResNet's 3x3 convolutions with shift-based
modules for improved CIFAR10 and CIFAR100 accuracy using 60% fewer parameters;
we additionally demonstrate the operation's resilience to parameter reduction
on ImageNet, outperforming ResNet family members. We finally show the shift
operation's applicability across domains, achieving strong performance with
fewer parameters on classification, face verification and style transfer.</t>
  </si>
  <si>
    <t>[The Shift Module and Network Design] We first review the standard spatial and depth-wise convolutions illustrated in Figure REF . Consider the spatial convolution in Figure REF (a), which takes a tensor [FORMULA] as input. Let [FORMULA] denote the height and width and [FORMULA] denote the channel size. The kernel of a spatial convolution is a tensor [FORMULA] , where [FORMULA] denotes the kernel's spatial height and width, and [FORMULA] is the number of filters. For simplicity, we assume the stride is 1 and that the input/output have identical spatial dimensions. Then, the spatial convolution outputs a tensor [FORMULA] , which can be computed as
[FORMULA] 
 where [FORMULA] are the re-centered spatial indices; [FORMULA] and [FORMULA] index along spatial dimensions and [FORMULA] index into channels.
The number of parameters required by a spatial convolution is [FORMULA] and the computational cost is [FORMULA] . As the kernel size [FORMULA] increases, we see the number of parameters and computational cost grow quadratically.</t>
  </si>
  <si>
    <t>[The Shift Module and Network Design] A popular variant of the spatial convolution is a depth-wise convolution [CITE], [CITE], which is usually followed by a point-wise convolution (1x1 convolution). Altogether, the module is called the depth-wise separable convolution.
A depth-wise convolution, as shown in Figure REF (b), aggregates spatial information from a [FORMULA] patch within each channel, and can be described as
[FORMULA] 
 where [FORMULA] is the depth-wise convolution kernel. This convolution comprises [FORMULA] parameters and [FORMULA] FLOPs. As in standard spatial convolutions, the number of parameters and computational cost grow quadratically with respect to the kernel size [FORMULA] . Finally, point-wise convolutions mix information across channels, giving us the following output tensor
[FORMULA]</t>
  </si>
  <si>
    <t>[Constructing Shift Kernels] However, finding the optimal permutation, i.e., how to map each channel-[FORMULA] to a shift group, requires searching a combinatorially large search space. To address this issue, we introduce a modification to the shift operation that makes input and output invariant to channel order: We denote a shift operation with channel permutation [FORMULA] as [FORMULA] , so we can express Eq. (REF ) as [FORMULA] . We permute the input and output of the shift operation as
[FORMULA] 
 where [FORMULA] are permutation operators and [FORMULA] denotes operator composition. However, permutation operators are discrete and therefore difficult to optimize. As a result, we process the input [FORMULA] to Eq. (REF ) by a point-wise convolution [FORMULA] . We repeat the process for the output [FORMULA] using [FORMULA] . The final expression can be written as
[FORMULA]</t>
  </si>
  <si>
    <t>Stochastic DC-CNN  Inspired by [[TARGET]], we extend the DC-CNN framework into a stochastic DC-CNN (s-DC-CNN)—during the training, the [FORMULA] -th subnetwork is dropped with a probability of [FORMULA] , where [FORMULA] is the total number of the cascaded CNN.</t>
  </si>
  <si>
    <t>Stochastic DC-CNN  Inspired by [[TARGET]], we extend the DC-CNN framework into a stochastic DC-CNN (s-DC-CNN)—during the training, the [FORMULA] -th subnetwork is dropped with a probability of [FORMULA] , where [FORMULA] is the total number of the cascaded CNN. During the testing (inference), we can use all of the subnetworks to perform the reconstruction, which is expected to provide the best performance as the most depths are used. Alternatively, we could sample the network configurations [FORMULA] using the distribution [FORMULA] from the above strategy, and then reconstruct the image as an ensemble of the sampled model [FORMULA] . In so doing, the variance of the predicted value can be used as an uncertainty estimate given the ensemble. This alternative approach provides several benefits: (1) it accelerates the learning because the expected depth of the network is much shorter; (2) this simultaneously helps the error terms to be backpropagated better as the depth is shortened, allowing us to train deeper networks if desired; (3) due to the stochastic connection, each subnetwork can see different levels of residual noise that help the network learn better and become more robust.</t>
  </si>
  <si>
    <t>Deep Networks with Stochastic Depth</t>
  </si>
  <si>
    <t>Very deep convolutional networks with hundreds of layers have led to
significant reductions in error on competitive benchmarks. Although the
unmatched expressiveness of the many layers can be highly desirable at test
time, training very deep networks comes with its own set of challenges. The
gradients can vanish, the forward flow often diminishes, and the training time
can be painfully slow. To address these problems, we propose stochastic depth,
a training procedure that enables the seemingly contradictory setup to train
short networks and use deep networks at test time. We start with very deep
networks but during training, for each mini-batch, randomly drop a subset of
layers and bypass them with the identity function. This simple approach
complements the recent success of residual networks. It reduces training time
substantially and improves the test error significantly on almost all data sets
that we used for evaluation. With stochastic depth we can increase the depth of
residual networks even beyond 1200 layers and still yield meaningful
improvements in test error (4.91% on CIFAR-10).</t>
  </si>
  <si>
    <t>[Introduction] In this paper, we propose deep networks with stochastic depth, a novel training algorithm that is based on the seemingly contradictory insight that ideally we would like to have a deep network during testing but a short network during training. We resolve this conflict by creating deep Residual Network [CITE] architectures (with hundreds or even thousands of layers) with sufficient modeling capacity; however, during training we shorten the network significantly by randomly removing a substantial fraction of layers independently for each sample or mini-batch.
The effect is a network with a small expected depth during training, but a large depth during testing. Although seemingly simple, this approach is surprisingly effective in practice.
 In extensive experiments we observe that training with stochastic depth substantially reduces training time and test error (resulting in multiple new records to the best of our knowledge at the time of initial submission to ECCV).
The reduction in training time can be attributed to the shorter forward and backward propagation, so the training time no longer scales with the full depth, but the shorter expected depth of the network. We attribute the reduction in test error to two factors: 1) shortening the (expected) depth during training reduces the chain of forward propagation steps and gradient computations, which strengthens the gradients especially in earlier layers during backward propagation; 2) networks trained with stochastic depth can be interpreted as an implicit ensemble of networks of different depths, mimicking the record breaking ensemble of depth varying ResNets trained by He et al. [CITE].</t>
  </si>
  <si>
    <t>[unknown] During the forward-backward pass the transformation [FORMULA] is bypassed with probability [FORMULA] , leading to a network with reduced depth.
With stochastic depth, the number of effective ResBlocks during training, denoted as [FORMULA] , becomes a random variable. Its expectation is given by:
[FORMULA]
 Under the linear decay rule with [FORMULA] , the expected number of ResBlocks during training reduces to [FORMULA] , or [FORMULA] when [FORMULA] is large. For the 110-layer network with [FORMULA] commonly used in our experiments, we have [FORMULA] . In other words, with stochastic depth, we train ResNets with an average number of 40 ResBlocks, but recover a ResNet with 54 blocks at test time.
This reduction in depth significantly alleviates the vanishing gradients and the information loss problem in deep ResNets. Note that because the connectivity is random, there will be updates with significantly shorter networks and more direct paths to individual layers. We provide an empirical demonstration of this effect in Section .</t>
  </si>
  <si>
    <t>[unknown] Stochastically dropping layers during training reduces the effective depth on which gradient back-propagation is performed, while keeping the test-time model depth unmodified. As a result we expect training with stochastic depth to reduce the vanishing gradient problem in the backward step.
To empirically support this, we compare the magnitude of gradients to the first convolutional layer of the first ResBlock ([FORMULA] ) with and without stochastic depth on the CIFAR-10 data set.
 Fig. REF shows the mean absolute values of the gradients. The two large drops indicated by vertical dotted lines are due to scheduled learning rate division. It can be observed that the magnitude of gradients in the network trained with stochastic depth is always larger, especially after the learning rate drops. This seems to support out claim that stochastic depth indeed significantly reduces the vanishing gradient problem, and enables the network to be trained more effectively. Another indication of the effect is in the left panel of Fig. REF , where one can observe that the test error of the ResNets with constant depth approximately plateaus after the first drop of learning rate, while stochastic depth still improves the performance even after the learning rate drops for the second time. This further supports that stochastic depth combines the benefits of shortened network during training with those of deep models at test time.
[FIGURE]</t>
  </si>
  <si>
    <t>As pioneers, Liu et al. [[TARGET]] introduced a pseudo size updating scheme in a detection network to estimate object sizes.</t>
  </si>
  <si>
    <t>The advances of deep neural networks (DNNs) raise an issue of enormous demand for data annotations. However, it is very costly and laborious to collect object-level bounding box annotations [CITE], [CITE] which are usually needed for training DNN-based object detection methods, especially for images containing thousands of objects. Current crowd counting datasets provide only point-level annotations, and usually human heads are labeled as the central points, e.g., the green dots shown in Fig. REF . Due to the lack of object sizes, state-of-the-art DNN-based object detectors [CITE] cannot be trivially applied to such point supervision. As pioneers, Liu et al. [[TARGET]] introduced a pseudo size updating scheme in a detection network to estimate object sizes. Sam et al. [CITE] proposed an LSC-CNN to achieve higher detection performance in crowd scenes. However, these works are still not on par with box-supervised methods (e.g., Faster R-CNN [CITE]) in the detection task. As for the counting task, these methods, denoted as counting-by-detection methods, can count objects by filtering out low-confidence objects with a threshold. However, they also suffer from highly crowded objects.
[FIGURE]</t>
  </si>
  <si>
    <t>Point in, Box out: Beyond Counting Persons in Crowds</t>
  </si>
  <si>
    <t>Modern crowd counting methods usually employ deep neural networks (DNN) to
estimate crowd counts via density regression. Despite their significant
improvements, the regression-based methods are incapable of providing the
detection of individuals in crowds. The detection-based methods, on the other
hand, have not been largely explored in recent trends of crowd counting due to
the needs for expensive bounding box annotations. In this work, we instead
propose a new deep detection network with only point supervision required. It
can simultaneously detect the size and location of human heads and count them
in crowds. We first mine useful person size information from point-level
annotations and initialize the pseudo ground truth bounding boxes. An online
updating scheme is introduced to refine the pseudo ground truth during
training; while a locally-constrained regression loss is designed to provide
additional constraints on the size of the predicted boxes in a local
neighborhood. In the end, we propose a curriculum learning strategy to train
the network from images of relatively accurate and easy pseudo ground truth
first. Extensive experiments are conducted in both detection and counting tasks
on several standard benchmarks, e.g. ShanghaiTech, UCF_CC_50, WiderFace, and
TRANCOS datasets, and the results show the superiority of our method over the
state-of-the-art.</t>
  </si>
  <si>
    <t>[Introduction] Counting people in crowded scenes is a crucial component for a wide range of applications including video surveillance, safety monitoring, and behavior modeling. It is a highly challenging task in dense crowds due to heavy occlusions, perspective distortions, scale variations and varying density of people. Modern regression-based methods [CITE], [CITE], [CITE], [CITE], [CITE], [CITE], [CITE] cast the problem as regressing a density distribution map whose integral over the map gives the people count within that image (see Fig REF : Left).
Owing to the advent of deep neural networks (DNN) [CITE], remarkable progress has been achieved in these methods.
They do not require
annotating the bounding boxes but only the points of person heads at training. Yet, as a consequence, they
can not provide the detection of persons at testing, neither.
 The detection-based methods, which cast the problem as detecting each individual in the crowds (see Fig REF : Right), on the other hand, have not been largely explored in recent trends due to the lack of bounding box annotations. Liu et al.  [CITE] have tried to manually annotate on partial of the bounding boxes in ShanghaiTech PartB (SHB) dataset [CITE] and train a fully-supervised Faster R-CNN [CITE]. They combine the detection result with regression result for crowd counting. Notwithstanding their efforts and obtained improvements, they did not report
results on datasets like SHA [CITE] and UCF_CC_50 [CITE], which have crowds on average five and ten times denser than that of SHB.
[FIGURE]</t>
  </si>
  <si>
    <t>[Introduction] Annotating the bounding boxes of persons for training images can be a great challenge in crowd counting datasets. Meanwhile, knowing the person size and locations in a crowd at test stage is also very important; for example, in video surveilance, it enables person recognition [CITE], tracking [CITE], and re-identification [CITE]. Recently, some researchers [CITE], [CITE] start to work on this issue with point supervision by employing segmentation frameworks [CITE] or regressing the localization maps [CITE] to simultaneously localize the persons and predict the crowd counts. Because they only use point-level annotations, they simply focus on localizing persons in the crowds, but do not consider predicting the proper size.
 To be able to predict the proper size and locations of persons and meanwhile bypass the need for expensive bounding box annotations,
we introduce a new deep detection network using only point-level annotations on person heads (see Fig. REF : Middle).
Although the real head size is not annotated, the intuition of our work is based on the observations that i) when two persons are close enough, their head distance indeed reflects their head size (similar to [CITE]); ii) due to the perspective distortion, person heads in the same horizontal line usually have similar size and gradually become smaller in the remote (top) area of the image. Both observations are common in crowd counting scenarios. They inspire us to mine useful person size information from head distances, and generalize a reliable point-supervised person detector with the help of head point annotations and size correlations in local areas.</t>
  </si>
  <si>
    <t>[Counting] The notation “DetNet" for [CITE] denotes the counting-by-detection result in it, where they annotate on partial of the bounding boxes in SHB and train a fully-supervised Faster R-CNN detector. PSDDN clearly outperforms the DetNet results.
But we do not claim that point (weakly)-supervised learning is normally better than fully-supervised learning. Specifically for DetNet, they did not employ any of the data augmentation tricks as in PSDDN. The main limitation for fully-supervised detection methods in crowd counting lies in the large amount of bounding box annotations required. It can be unrealistic in very dense crowds. Our PSDDN instead provides an alternative way to conduct counting-by-detection with only point supervision; it performs very well in the evaluation of both counting and detection.
 UCF_CC_50  It has the densest crowds so far in crowd counting task. We show in Table REF that our PSDDN can still produce competitive result: the MAE is 359.4 while the MSE is 514.8.
In the detection session, we will show that despite the tiny heads in UCF, PSDDN is still able to produce reasonable bounding boxes on them (Fig. REF : third column).
[TABLE]</t>
  </si>
  <si>
    <t>Please see [CITE], [[TARGET]] for more details on the degree-discounted bibliographic coupling.</t>
  </si>
  <si>
    <t>which discounts the contributions of the nodes [FORMULA] by their out-degrees (the number of followers) and each mutual follower [FORMULA] by her in-degree (number of friends). Please see [CITE], [[TARGET]] for more details on the degree-discounted bibliographic coupling.</t>
  </si>
  <si>
    <t>Clustering and Community Detection in Directed Networks: A Survey</t>
  </si>
  <si>
    <t>Networks (or graphs) appear as dominant structures in diverse domains,
including sociology, biology, neuroscience and computer science. In most of the
aforementioned cases graphs are directed - in the sense that there is
directionality on the edges, making the semantics of the edges non symmetric.
An interesting feature that real networks present is the clustering or
community structure property, under which the graph topology is organized into
modules commonly called communities or clusters. The essence here is that nodes
of the same community are highly similar while on the contrary, nodes across
communities present low similarity. Revealing the underlying community
structure of directed complex networks has become a crucial and
interdisciplinary topic with a plethora of applications. Therefore, naturally
there is a recent wealth of research production in the area of mining directed
graphs - with clustering being the primary method and tool for community
detection and evaluation. The goal of this paper is to offer an in-depth review
of the methods presented so far for clustering directed networks along with the
relevant necessary methodological background and also related applications. The
survey commences by offering a concise review of the fundamental concepts and
methodological base on which graph clustering algorithms capitalize on. Then we
present the relevant work along two orthogonal classifications. The first one
is mostly concerned with the methodological principles of the clustering
algorithms, while the second one approaches the methods from the viewpoint
regarding the properties of a good cluster in a directed network. Further, we
present methods and metrics for evaluating graph clustering results,
demonstrate interesting application domains and provide promising future
research directions.</t>
  </si>
  <si>
    <t>[Modularity for Directed Networks] where [FORMULA] is the [FORMULA] -th element of PageRank vector and [FORMULA] 
is the element of Google matrix [FORMULA]Similar to the transition
matrix [FORMULA] but guaranteeing the existence of a stationary vector
[CITE]. [CITE]. Then, a generalized version of
modularity can be defined using random walk concepts as follows:
[FORMULA] 
 According to this modularity definition (which holds for both directed
and undirected networks), a community is not just a group of nodes with more
than expected number of edges, but a group of nodes where a random surfer is
more likely to stay. Therefore, the directed modularity can be expressed as
[FORMULA]</t>
  </si>
  <si>
    <t>[Transformation to Unipartite Weighted Network] Then, both the bibliographic coupling and
co-citations matrices (matrices [FORMULA] and [FORMULA] respectively) are
redefined according to the degree-discounted idea as follows:
[FORMULA] 
where [FORMULA] are the discounting parameters. Finally,
the produced similarity matrix (and thus the adjacency matrix of the
symmetrized undirected network) will be the sum of these two matrices,
[FORMULA] .
The authors report that they have empirically observed that setting
[FORMULA] results into intuitive and meaningful
clusterings. Having now symmetrized the directed network, algorithms designed to
work on undirected graphs can be applied to extract the underlying community
structure.</t>
  </si>
  <si>
    <t>[Probabilistic Models and Statistical Inference] Another extension of the mixture models method by Newman and Leicht
[CITE] has been presented by Wang and Lai
[CITE]. The authors modified a subset of the
parameters of mixture models, adding some interesting features to the
proposed APBEMA algorithm, such as independence from the degree distribution of
the network (i.e., there is no restriction about the degree of each node that
affects the produced communities) and applicability to both directed and
undirected networks without any modifications.</t>
  </si>
  <si>
    <t>Against the first intuition this degradation is not caused
by overfitting as reported in [[TARGET]] and [CITE].</t>
  </si>
  <si>
    <t>Convolutional Neural Networks (CNNs) have made their mark in
various fields of computer vision and become the dominant pattern
recognition approach for visual object recognition. Introduced
over 20 years ago [CITE], cnn were able
to achieve comparable results but quickly comes to their limits.
Based on the usage of a sigmoidal activation function, cnn
were limited to have deep architectures exploiting more convolutional
layers. The key contribution was made by introducing the
Rectified Linear Unit (ReLU) as activation function [CITE].
Since that cnn were designed to have deeper architectures, starting
with the AlexNet [CITE] using 5 convolutional layers.
In 2015 the VGGNet [CITE] was proposed using 19
convolutional layers. One year later the first two networks were
capable of surpassing the 100-layer barrier, namely the Highway Networks [CITE]
and the Residual Networks (ResNets) [CITE].
A degradation problem has been exposed when deeper networks are able
to start converging. The accuracy gets saturated with the increasing network depth
and than rapidly degrades. Adding more layers to the network leads to higher
training error. Against the first intuition this degradation is not caused
by overfitting as reported in [[TARGET]] and [CITE].</t>
  </si>
  <si>
    <t>Convolutional Neural Networks at Constrained Time Cost</t>
  </si>
  <si>
    <t>Though recent advanced convolutional neural networks (CNNs) have been
improving the image recognition accuracy, the models are getting more complex
and time-consuming. For real-world applications in industrial and commercial
scenarios, engineers and developers are often faced with the requirement of
constrained time budget. In this paper, we investigate the accuracy of CNNs
under constrained time cost. Under this constraint, the designs of the network
architectures should exhibit as trade-offs among the factors like depth,
numbers of filters, filter sizes, etc. With a series of controlled comparisons,
we progressively modify a baseline model while preserving its time complexity.
This is also helpful for understanding the importance of the factors in network
designs. We present an architecture that achieves very competitive accuracy in
the ImageNet dataset (11.8% top-5 error, 10-view test), yet is 20% faster than
"AlexNet" (16.0% top-5 error, 10-view test).</t>
  </si>
  <si>
    <t>[Introduction] From the controlled experiments, we draw the following empirical observations about the depth.
(1) The network depth is clearly of high priority for improving accuracy, even if the width and/or filter sizes are reduced to compensate the time cost. This is not a straightforward observation even though the benefits of depth have been recently demonstrated [CITE], [CITE], because in previous comparisons [CITE] the extra layers are added without trading off other factors, and thus increase the complexity. (2) While the depth is important, the accuracy gets stagnant or even degraded if the depth is overly increased. This is observed even if width and/filter sizes are not traded off (so the time cost increases with depth).
 Through the investigations, we obtain a model that achieves 11.8% top-5 error (10-view test) on ImageNet [CITE] and only takes 3 to 4 days training on a single GPU.
Our model is more accurate and also faster than several competitive models in recent papers [CITE], [CITE], [CITE].
Our model has 40% less complexity than “AlexNet” [CITE] and 20% faster actual GPU speed, while has 4.2% lower top-5 error.</t>
  </si>
  <si>
    <t>[Comparisons] Table REF shows that our model is more accurate than these fast models by substantial margins. Our model has a top-5 error rate 4.2% lower than AlexNet and a top-1 error rate 5.8% lower, but has 40% less complexity. The actual running time of our model is 20% faster than AlexNet. The difference between the (convolutional) complexity and the actual running time is mainly due to the overhead of the fc and pooling layers.
 Comparisons with Accurate Models.
In Table REF (top) we compare with the state-of-the-art models in terms of accuracy. Here CNN-M [CITE] is a model similar to ZF (fast) but with more filters; CNN-S [CITE] is a model similar to the Overfeat structure [CITE]; SPPnet (O5/7) [CITE] are models similar to the Overfeat structure [CITE] but combined with the SPP layer.
The reported results of these models are cited from the papers [CITE], [CITE] using the same augmentation as ours.</t>
  </si>
  <si>
    <t>[Comparisons] Table REF (top) shows that our model is more accurate than CNN-M, CNN-S, and SPPnet (O5), and is also faster. SPPnet (O7) is 0.7% better than ours in top-5 error, but requires 4.5[FORMULA] running time.
 In Table REF (bottom) we further compare with the winners of ImageNet Large Scale Recognition Challenge (ILSVRC) 2014 [CITE]. We compare on the 10-view testing results of a single model. These competitors were trained using more sophisticated data-augmentation, including different implementations of scale augmentation [CITE], [CITE]. The extra data augmentation should partially contribute to the gaps.</t>
  </si>
  <si>
    <t>However, PatchMatch inherently has a limited regularization power as shown in [[TARGET]], [CITE], [CITE].</t>
  </si>
  <si>
    <t>More related to our work is a method called deep image analogy [CITE] that searches semantic correspondences using deep PatchMatch [CITE] in a coarse-to-fine manner. However, PatchMatch inherently has a limited regularization power as shown in [[TARGET]], [CITE], [CITE]. In addition, the method still needs the greedy optimization for feature deconvolution that induces computational bottlenecks, and only considers the translational fields, thus having the limitation to handle more complicated deformations.</t>
  </si>
  <si>
    <t>DCTM: Discrete-Continuous Transformation Matching for Semantic Flow</t>
  </si>
  <si>
    <t>Techniques for dense semantic correspondence have provided limited ability to
deal with the geometric variations that commonly exist between semantically
similar images. While variations due to scale and rotation have been examined,
there lack practical solutions for more complex deformations such as affine
transformations because of the tremendous size of the associated solution
space. To address this problem, we present a discrete-continuous transformation
matching (DCTM) framework where dense affine transformation fields are inferred
through a discrete label optimization in which the labels are iteratively
updated via continuous regularization. In this way, our approach draws
solutions from the continuous space of affine transformations in a manner that
can be computed efficiently through constant-time edge-aware filtering and a
proposed affine-varying CNN-based descriptor. Experimental results show that
this model outperforms the state-of-the-art methods for dense semantic
correspondence on various benchmarks.</t>
  </si>
  <si>
    <t>[Dense Semantic Flow] Several methods aim to alleviate geometric variations through extensions of SIFT Flow, including scale-less SIFT Flow (SLS) [CITE], scale-space SIFT Flow (SSF) [CITE], and generalized DSP (GDSP) [CITE].
However, these techniques have a critical practical limitation that their computation increases linearly with the search space size.
A generalized PatchMatch algorithm [CITE] was proposed for efficient matching that leverages a randomized search scheme. This was utilized by HaCohen et al. [CITE] in a non-rigid dense correspondence (NRDC) algorithm, but employs weak matching evidence that cannot guarantee reliable performance. Geometric invariance to scale and rotation is provided by DFF [CITE], but its implicit smoothing model which relies on randomized sampling and propagation of good estimates in the direct neighborhood often induces mismatches.
A segmentation-aware approach [CITE] was proposed to provide geometric robustness for descriptors, e.g., SIFT [CITE], but can have a negative effect on the discriminative power of the descriptor. Recently, Ham et al. [CITE] presented the Proposal Flow (PF) algorithm to estimate correspondences using object proposals. While these aforementioned techniques provide some amount of geometric invariance, none of them can deal with
affine transformations across images, which are a frequent occurrence in dense semantic correspondence.</t>
  </si>
  <si>
    <t>[Taniai Benchmark {{cite:c738d425679de68446e74c03cd6aaabfc894b6fa}}] We first evaluated our DCTM method on the Taniai benchmark [CITE],
which consists of 400 image pairs divided into three groups:
FG3DCar [CITE], JODS [CITE], and PASCAL [CITE].
As in [CITE], [CITE], flow accuracy was
measured by computing the proportion of foreground pixels with an
absolute flow endpoint error that is smaller than a certain threshold [FORMULA] , after resizing images so that its larger dimension is 100 pixels.
Table REF summarizes the matching accuracy for state-of-the-art correspondence techniques ([FORMULA] pixels). Fig. REF displays qualitative results for dense flow estimation.
Fig. REF plots the flow accuracy with respect to error threshold.
Compared to methods based on handcrafted features [CITE], [CITE], [CITE], CNN based methods [CITE], [CITE] provide higher accuracy even though they do not consider geometric variations. The method of Lin et al. [CITE] cannot estimate reliable correspondences due to unstable sparse correspondences. Thanks to its discrete labeling optimization with continuous regularization and affine-FCSS, our DCTM method provides state-of-the-art performance.
[FIGURE][FIGURE][TABLE]</t>
  </si>
  <si>
    <t>[Introduction] Establishing dense correspondences across semantically similar images is essential for numerous tasks such as nonparametric scene parsing, scene recognition, image registration, semantic segmentation, and image editing [CITE], [CITE], [CITE].
 Unlike traditional dense correspondence for estimating depth [CITE] or optical flow [CITE], [CITE], semantic correspondence estimation poses additional challenges due to intra-class appearance and shape variations among object instances, which can degrade matching by conventional approaches [CITE], [CITE].
Recently, several methods have attempted to deal with the appearance differences using convolutional neural network (CNN) based descriptors because of their high invariance to appearance variations [CITE], [CITE], [CITE], [CITE].
However, geometric variations are considered in just a limited manner through constraint settings such as those used for depth or optical flow. Some methods solve for geometric variations such as scale or rotation [CITE], [CITE], [CITE], but they consider only a discrete set of scales or rotations as possible solutions, and do not capture the non-rigid geometric deformations that commonly exist between semantically similar images.
[FIGURE]</t>
  </si>
  <si>
    <t>Thus, we adapt the representation from [[TARGET]] and utilize the beam id to assign each point to its row [FORMULA] in the image.</t>
  </si>
  <si>
    <t>However, in practice the vertical resolution [FORMULA] , which is the angle between subsequent LiDAR beams is not constant. Thus, we adapt the representation from [[TARGET]] and utilize the beam id to assign each point to its row [FORMULA] in the image. The beam id can be easily retrieved from the LiDAR sensor. This allows for an unambiguous vertical discretization to obtain a dense native range representation, which we use as the laser range image. This range representation is even easier to obtain than the spherical one (i.e. no need for zenith projection) and reduces holes and coordinate conflicts in the data. If (due to the horizontal discretization) multiple 3D points fall onto to the same pixel in the range image, we choose the one with azimuth position nearest to the respective pixel center.</t>
  </si>
  <si>
    <t>LaserNet: An Efficient Probabilistic 3D Object Detector for Autonomous
 Driving</t>
  </si>
  <si>
    <t>In this paper, we present LaserNet, a computationally efficient method for 3D
object detection from LiDAR data for autonomous driving. The efficiency results
from processing LiDAR data in the native range view of the sensor, where the
input data is naturally compact. Operating in the range view involves well
known challenges for learning, including occlusion and scale variation, but it
also provides contextual information based on how the sensor data was captured.
Our approach uses a fully convolutional network to predict a multimodal
distribution over 3D boxes for each point and then it efficiently fuses these
distributions to generate a prediction for each object. Experiments show that
modeling each detection as a distribution rather than a single deterministic
box leads to better overall detection performance. Benchmark results show that
this approach has significantly lower runtime than other recent detectors and
that it achieves state-of-the-art performance when compared on a large dataset
that has enough data to overcome the challenges of training on the range view.</t>
  </si>
  <si>
    <t>[Input Representation] The LiDAR produces a cylindrical range image as it sweeps over the environment with a set of lasers. The horizontal resolution of the image is determined by the rotation speed and laser pulse rate, and the vertical resolution is determined by the number of lasers. The Velodyne 64E LiDAR contains a set of 64 lasers with a non-uniform vertical spacing of approximately [FORMULA] and has a horizontal angular resolution of approximately [FORMULA] .
For each point in the sweep, the sensor provides a range [FORMULA] , reflectance [FORMULA] , azimuth [FORMULA] , and laser id [FORMULA] , which corresponds to a known elevation angle. Using the range, azimuth, and elevation, we can compute the corresponding 3D point [FORMULA] in the sensor frame. We build an input image by directly mapping the laser id [FORMULA] to rows and discretizing azimuth [FORMULA] into columns. If more than one point occupies the same cell in the image, we keep the closest point.
 For each cell coordinate in the image, we collect a set of input channels from its corresponding point: range [FORMULA] , height [FORMULA] , azimuth angle [FORMULA] , intensity [FORMULA] , and a flag indicating whether the cell contains a point. The result is a five channel image that forms the input to our network (see Figure REF ).</t>
  </si>
  <si>
    <t>[Introduction] 3D object detection is a key capability for autonomous driving. LiDAR range sensors are commonly used for this task because they generate accurate range measurements of the objects of interest independent of lighting conditions. To be used in a real-time autonomous system, it is important that these approaches run efficiently in addition to having high accuracy. Also, within the context of a full self-driving system, it is beneficial to have an understanding of the detector's uncertainty.
[FIGURE] LiDAR range sensors used on autonomous vehicles employ a variety of physical approaches to point one or more range-measuring lasers in different directions (physically spinning, raster scanning, MEMS mirrors, etc), but the data from these sensors are all similar in that they contain range measurements from a single location spanning some vertical and horizontal angular field of view. Note that this data is quite different from full 3D point cloud data collected by scanning an object on a turntable or through other means to generate a consistent dense point cloud of all sides of the object. As shown in Figure REF , the LiDAR data is inherently dense from the sensor's point of view but sparse when the range measurements are projected into 3D space. The density of measurements is constant in angle, so nearby objects have significantly more measurements than far away objects. Also, only the sides of objects facing the sensor receive measurements.</t>
  </si>
  <si>
    <t>[Ablation Study on ATG4D] Previous methods which utilize the range view [CITE], [CITE] uniformly discretize the elevation angle into rows.
However, the lasers in the Velodyne 64E LiDAR are not uniformly spaced.
A gain in performance can be obtained by mapping points to rows using the laser id and processing the data directly as the sensor captured it.
 Mean Shift Clustering</t>
  </si>
  <si>
    <t>Therefore, this setting falls in the realm of unsupervised domain adaptation (UDA) for semantic segmentation [CITE], [CITE], [CITE], [CITE], [CITE], [CITE], [CITE], [CITE], [[TARGET]], [CITE], [CITE], [CITE], which is in contrast to assuming access to ground truth from the target domain [CITE], [CITE].</t>
  </si>
  <si>
    <t>Semantic image segmentation is a central and challenging task in autonomous driving, as it involves predicting a class label (e.g., road, sidewalk, pedestrian, vehicle, etc) per pixel in outdoor images. Therefore, non surprisingly, the development of deep models for semantic segmentation has received a great deal of interest since deep learning is the core for solving computer vision tasks [CITE], [CITE], [CITE], [CITE], [CITE], [CITE], [CITE]. In this paper, we do not aim at proposing a new deep model architecture for on-board semantic segmentation, but our focus is on the training process of semantic segmentation models. More specifically, we explore the setting where such models must perform in real-world images, while for training them we have access to automatically generated synthetic images with semantic ground truth together with unlabeled real-world images. In other words, there is a supervised source (synthetic) domain, and an unsupervised target (real-world) domain. Therefore, this setting falls in the realm of unsupervised domain adaptation (UDA) for semantic segmentation [CITE], [CITE], [CITE], [CITE], [CITE], [CITE], [CITE], [CITE], [[TARGET]], [CITE], [CITE], [CITE], which is in contrast to assuming access to ground truth from the target domain [CITE], [CITE]. Note that the great relevance of UDA in this context comes from the fact that, until now, pixel-level semantic image segmentation ground truth is obtained by cumbersome and error-prone manual labeling. In fact, this is the reason why the use of synthetic datasets [CITE], [CITE], [CITE] arouses great interest. However, it is well-known that training deep models on synthetic images for performing on real-world images requires domain adaptation [CITE], [CITE], which must be unsupervised if we have no labels from real-world images [CITE].
[FIGURE]</t>
  </si>
  <si>
    <t>DSP: Dual Soft-Paste for Unsupervised Domain Adaptive Semantic
 Segmentation</t>
  </si>
  <si>
    <t>Unsupervised domain adaptation (UDA) for semantic segmentation aims to adapt
a segmentation model trained on the labeled source domain to the unlabeled
target domain. Existing methods try to learn domain invariant features while
suffering from large domain gaps that make it difficult to correctly align
discrepant features, especially in the initial training phase. To address this
issue, we propose a novel Dual Soft-Paste (DSP) method in this paper.
Specifically, DSP selects some classes from a source domain image using a
long-tail class first sampling strategy and softly pastes the corresponding
image patch on both the source and target training images with a fusion weight.
Technically, we adopt the mean teacher framework for domain adaptation, where
the pasted source and target images go through the student network while the
original target image goes through the teacher network. Output-level alignment
is carried out by aligning the probability maps of the target fused image from
both networks using a weighted cross-entropy loss. In addition, feature-level
alignment is carried out by aligning the feature maps of the source and target
images from student network using a weighted maximum mean discrepancy loss. DSP
facilitates the model learning domain-invariant features from the intermediate
domains, leading to faster convergence and better performance. Experiments on
two challenging benchmarks demonstrate the superiority of DSP over
state-of-the-art methods. Code is available at
\url{https://github.com/GaoLii/DSP}.</t>
  </si>
  <si>
    <t>[Introduction] As one of the fundamental tasks in computer vision, semantic segmentation can be used as a preliminary step for many multimedia applications [CITE], [CITE], [CITE], [CITE], including image/video captioning, image-to-image translation, video content analysis.
Training a well-performed deep semantic segmentation model usually requires a large amount of pixel-level labeled data, which is indeed very laborious and expensive to manually annotate. Alternatively, since it is much easier to generate synthetic images with dense pixel labels, [FORMULA] , via a 3D game engine, there are a lot of works focusing on training the segmentation model using synthetic labeled images. However, due to the appearance discrepancy between synthetic images and real images, which is also known as the domain shift, the model trained on synthetic images usually generalizes poorly on real images.
 To address this issue, unsupervised domain adaptation (UDA) methods have been proposed to mitigate the domain shift between the source and target domains as shown in Figure REF (a). In the context of semantic segmentation, there are three categories of methods which perform domain adaptation at different levels, such as input level [CITE], [CITE], feature level [CITE], [CITE], [CITE], and output level [CITE], [CITE]. Input-level UDA methods aim to perform statistical matching at the input level to achieve uniformity in the visual appearance of the input images from different domains, [FORMULA] , style transfer [CITE]. Feature-level UDA methods aim to align the distribution of latent features (usually embedded by CNNs) in both domains to extract domain-invariant features, [FORMULA] , Maximum Mean Discrepancy (MMD) [CITE], adversarial learning [CITE]. Besides, since the predicted probability maps are in low-dimension and highly structured, it is effective to perform alignment of the probability maps from different domains, [FORMULA] , output-level UDA [CITE].
[FIGURE]</t>
  </si>
  <si>
    <t>[Datasets and Evaluation Metrics] We evaluate the performance of the proposed method for two challenging UDA tasks: GTA5 [CITE] to Cityscapes [CITE] and SYNTHIA [CITE] to Cityscapes. GTA5 is a synthetic dataset created using a photo-realistic open-world computer game engine. Dense pixel-level semantic annotations are provided for 24,966 urban landscape images with a resolution of [FORMULA] . 19 common classes in the Cityscapes dataset are chosen in our experiments. SYNTHIA is another synthetic collection of 9,400 diverse urban images with a resolution of [FORMULA] . We consider 16 common categories in the Cityscapes dataset for evaluation while the results on 13 common classes are also reported following a common practice. Cityscapes is a large-scale real-world urban scenes benchmark for semantic segmentation, which provides 5,000 densely annotated images with a resolution of [FORMULA] . We use 2,975 unlabeled training images during training and 500 validation images for testing. In all experiments, we use the mIoU metric for evaluation.</t>
  </si>
  <si>
    <t>[Copy-and-Paste Strategies] There is a wide spectrum of work to improve the performance of deep models by using copy-and-paste methods for data augmentation in the supervised training setting. For example, CutMix [CITE] cut and pasted patches among training images where the labels are also mixed to the area of the patches. Remez et al. learned object masks by cutting-and-pasting with adversarial learning [CITE]. However, all these methods adopted the hard-paste strategy, which loses the original layout and semantic information of the original image when creating new images. MixUp [CITE] trained the network on convex combinations of image pairs and their labels with a mixing weight to address the aforementioned issue. Dwibedi et al. proposed to automatically cut object instances and paste them on random backgrounds to make detectors ignore these artifacts during training and generate data that gives competitive performance on real data [CITE]. FMix [CITE] proposed to use random binary masks obtained by applying a threshold to low frequency images sampled from fourier space. These random masks can take on a wide range of shapes and can be generated for use with one, two, and three dimensional data. In this paper, we also explore the soft-paste idea but specifically tailor it to the unsupervised domain adaptive semantic segmentation setting by handling the class imbalance issue and reducing the domain gap.</t>
  </si>
  <si>
    <t>However, these methods cannot apply to our cross-domain VMR task because (i) most UDA methods only align the unimodal features, while we need to align the multi-modal features (both queries and videos); (ii) many UDA methods aim to tackle classification-based tasks (e.g., activity recognition [CITE], [CITE], [CITE], object detection [[TARGET]] and text-video retrieval [CITE]) rather than our complicated retrieval task.</t>
  </si>
  <si>
    <t>Unsupervised domain adaptation.
Unsupervised domain adaptation (UDA) aims to transfer the knowledge from the label-rich source domain to the unlabelled target domain, which is called domain shift [CITE], [CITE], [CITE].
This shift usually encounters some challenges: (i) the collected data are from diverse resources [CITE]; (ii) the training data in the target domain is limited [CITE]; (iii) the source and target domains have different modalities [CITE].
A general solution is to align the feature distribution between the two domains. Many UDA methods align the feature distribution by minimizing the disagreement of data distribution in different domains [CITE], [CITE], or learning an adversarial domain-classifier to find domain-invariant features [CITE], [CITE].
For example, for the activity recognition task, Song et al. [CITE] establish the cross-modal domain alignment via self-supervised contrastive framework to learn the joint clip-level and video-level representation alignment for video-based UDA. Considering that video data is usually associated with multi-modal information (RGB and optical flow), Kim et al. [CITE] propose a unified framework for video domain
adaptation, which simultaneously regularizes cross-modal
and cross-domain feature representations. As for the text-video retrieval task, Chen et al. [CITE] propose a new benchmark and investigate the UDA task for text-video retrieval in this setting.
Based on standard backpropagation training,
Ganin et al. [CITE] present a network that allows large-scale training by massive annotated data in the source domain and a large number of unannotated data in the target domain.
By introducing adversarial learning to model domain shift between different domains, Long et al. [CITE] design a deep domain adaptation hashing network for binary representation generation. Long et al. [CITE] propose a conditional adversarial domain adaptation network, which conditions the adversarial adaptation methods on discriminative information conveyed when predicting classification results.
However, these methods cannot apply to our cross-domain VMR task because (i) most UDA methods only align the unimodal features, while we need to align the multi-modal features (both queries and videos); (ii) many UDA methods aim to tackle classification-based tasks (e.g., activity recognition [CITE], [CITE], [CITE], object detection [[TARGET]] and text-video retrieval [CITE]) rather than our complicated retrieval task.
Thus, cross-domain VMR is more challenging than general UDA tasks.</t>
  </si>
  <si>
    <t>Uncertainty-Aware Unsupervised Domain Adaptation in Object Detection</t>
  </si>
  <si>
    <t>Unsupervised domain adaptive object detection aims to adapt detectors from a
labelled source domain to an unlabelled target domain. Most existing works take
a two-stage strategy that first generates region proposals and then detects
objects of interest, where adversarial learning is widely adopted to mitigate
the inter-domain discrepancy in both stages. However, adversarial learning may
impair the alignment of well-aligned samples as it merely aligns the global
distributions across domains. To address this issue, we design an
uncertainty-aware domain adaptation network (UaDAN) that introduces conditional
adversarial learning to align well-aligned and poorly-aligned samples
separately in different manners. Specifically, we design an uncertainty metric
that assesses the alignment of each sample and adjusts the strength of
adversarial learning for well-aligned and poorly-aligned samples adaptively. In
addition, we exploit the uncertainty metric to achieve curriculum learning that
first performs easier image-level alignment and then more difficult
instance-level alignment progressively. Extensive experiments over four
challenging domain adaptive object detection datasets show that UaDAN achieves
superior performance as compared with state-of-the-art methods.</t>
  </si>
  <si>
    <t>[Domain adaptive detection] Our work is closely related to the area of knowledge transfer [CITE], [CITE], [CITE] and domain adaptive object detection [CITE], [CITE], [CITE], [CITE], [CITE], [CITE], [CITE], [CITE], which aims to learn a well-performed detector on unlabeled target domain without accessing any annotations in target domain.
Quite a number of domain adaptive detectors have been reported. For example, DA [CITE] presents a domain adaptive detector based on Faster R-CNN to minimize domain bias via adversarial learning at both image and instance levels. MTOR [CITE] minimizes domain discrepancy by integrating object relations into teacher-student consistency regularization. SWDA [CITE] presents a powerful cross-domain detection method via strongly aligning local similar features and weakly aligning global dissimilar features. IFAN [CITE] aligns feature distributions at both image and instance levels in a coarse-to-fine manner. ATF [CITE] presents a tri-stream Faster R-CNN to alleviate the collapse risk caused by parameter sharing between source and target domains. CTR [CITE] trains the region proposal network (RPN) and the object detection classifier via collaborative self-training. GPA [CITE] aligns graph-induced prototype representations in two stages to minimize domain discrepancy. CRDA [CITE] presents an effective categorical regularization module that improves DA [CITE] and SWDA [CITE] consistently.
 The aforementioned cross-domain detection methods mainly employ adversarial learning which merely considers alignment of global distributions and may pull well-aligned samples incorrectly. This work instead aims for protecting well-aligned samples by identifying well-aligned and poorly-aligned samples and aligning them separately in different manners.
[FIGURE]</t>
  </si>
  <si>
    <t>[Introduction] In this paper, we propose an uncertainty-aware domain adaptation network (UaDAN) that aligns well-aligned and poorly-aligned samples adaptively by considering their uncertainty. With supervised models trained using source samples, well-aligned target samples are often predicted with low uncertainty while poorly-aligned target samples predicted with high uncertainty. We exploit this uncertainty information and achieve uncertainty-aware cross-domain alignment with two innovative designs. The first design is uncertainty-aware adversarial learning (UaAL) as illustrated in Fig. REF  (b). Instead of assigning the same adversarial-loss weight to all target samples equally, UaAL introduces uncertainty to measure an alignment score for each sample and adjusts the adversarial-loss weights for well-aligned and poorly-aligned target samples adaptively. In implementation, we exploit entropy [CITE] to estimate the sample uncertainty and weight adversarial loss of different target samples adaptively (i.e., small weight for well-aligned samples and large weight for poorly-aligned samples).
 The second design is uncertainty-guided curriculum learning (UgCL) that aims to optimize the domain adaptation across the two-stage detection pipeline progressively. Specifically, UgCL first aligns target samples at an easier image level for region proposal generation. It exploits entropy to estimate the uncertainty of image-level predictions for uncertainty-aware alignment at the image level. After target samples are well-aligned at the image level (with low uncertainty), UgCL aligns at a harder instance level for final object detection. Here the uncertainty is exploited to guide the instance-level alignment in the similar manner. The two-stage progressive alignment strategy alleviates error accumulation effectively by reducing image-level misalignment and its effects over the later instance-level alignment.</t>
  </si>
  <si>
    <t>[unknown] Domain variance exists widely among images of different resolutions and qualities that are captured by using different acquisition sensors. For the task of object detection, we're facing more dramatic variations of object appearance in scale, viewpoints, etc. In this experiment, we study the effectiveness of our uncertainty-aware domain adaptation method while handling domain shifts among different real-image datasets. Specifically, we use 8 common object classes between the source dataset Cityscapes [CITE] and the target dataset Mapillary Vistas [CITE]. The validation set of the Mapillary Vista is used in evaluations.
 Table REF shows comparisons of our UaDAN with state-of-the-art domain adaptive detection methods. We can see that UaDAN achieves the best detection with a mAP of 32.7%. For the classes (e.g., train) which can hardly be detected by `Source only' (with only 7.1% AP), UaDAN outperforms other methods by large margins (over 2.7% AP). A possible reason is that the 'train' features in target domain tend to be under-aligned due to large domain bias, and UaDAN can focus on aligning under-aligned features while keeping the well-aligned features less affected.</t>
  </si>
  <si>
    <t>unclear</t>
  </si>
  <si>
    <t>2. Fleiss κ among the team (no key involved)</t>
  </si>
  <si>
    <t>n_i (raters)</t>
  </si>
  <si>
    <t>P_i (agreement)</t>
  </si>
  <si>
    <t>Team majority vote</t>
  </si>
  <si>
    <t>Matches key (strict)</t>
  </si>
  <si>
    <t>Matches key (incl. also-acceptable)</t>
  </si>
  <si>
    <t>Majority = the label most of the included people chose (same include flags as Fleiss κ); "tie" when two labels share the top count. Ties never match.</t>
  </si>
  <si>
    <t>tie</t>
  </si>
  <si>
    <t>Total (of 30)</t>
  </si>
  <si>
    <t>p_j (all 30)</t>
  </si>
  <si>
    <t>P̄ mean agreement</t>
  </si>
  <si>
    <t>Pe chance agreement</t>
  </si>
  <si>
    <t>Fleiss κ (all 30)</t>
  </si>
  <si>
    <t>p_j (C01–C15, first half)</t>
  </si>
  <si>
    <t>Fleiss κ (C01–C15, first half)</t>
  </si>
  <si>
    <t>p_j (C16–C30, second half)</t>
  </si>
  <si>
    <t>Fleiss κ (C16–C30, second half)</t>
  </si>
  <si>
    <t>n_ij = number of included people who chose category j for the citation; n_i = included people who voted on it.</t>
  </si>
  <si>
    <t>P_i = (Σ n_ij² − n_i) / (n_i (n_i − 1)); p_j = Σ n_ij / Σ n_i; κ = (P̄ − Pe) / (1 − Pe), Pe = Σ p_j².</t>
  </si>
  <si>
    <t>Halves follow the order the citations were answered (C01 first).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</si>
</sst>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7">
    <font>
      <sz val="10.0"/>
      <color rgb="FF000000"/>
      <name val="Arial"/>
      <scheme val="minor"/>
    </font>
    <font>
      <b/>
      <sz val="10.0"/>
      <color theme="1"/>
      <name val="Arial"/>
    </font>
    <font>
      <sz val="10.0"/>
      <color theme="1"/>
      <name val="Arial"/>
    </font>
    <font>
      <b/>
      <sz val="12.0"/>
      <color rgb="FF586274"/>
      <name val="Arial"/>
    </font>
    <font>
      <b/>
      <sz val="11.0"/>
      <color theme="1"/>
      <name val="Calibri"/>
    </font>
    <font>
      <sz val="11.0"/>
      <color theme="1"/>
      <name val="Calibri"/>
    </font>
    <font>
      <sz val="10.0"/>
      <color rgb="FF434343"/>
      <name val="Arial"/>
    </font>
    <font>
      <color theme="1"/>
      <name val="Arial"/>
      <scheme val="minor"/>
    </font>
    <font>
      <b/>
      <sz val="12.0"/>
      <color theme="1"/>
      <name val="Arial"/>
    </font>
    <font>
      <sz val="10.0"/>
      <color rgb="FF666666"/>
      <name val="Arial"/>
    </font>
    <font>
      <sz val="10.0"/>
      <color rgb="FF0000FF"/>
      <name val="Arial"/>
    </font>
    <font>
      <i/>
      <sz val="9.0"/>
      <color rgb="FF555555"/>
      <name val="Arial"/>
    </font>
    <font>
      <sz val="10.0"/>
      <color rgb="FF000000"/>
      <name val="Arial"/>
    </font>
    <font>
      <sz val="10.0"/>
      <color rgb="FFFFFFFF"/>
      <name val="Arial"/>
    </font>
    <font>
      <b/>
      <color theme="1"/>
      <name val="Arial"/>
    </font>
    <font>
      <color theme="1"/>
      <name val="Arial"/>
    </font>
    <font>
      <color rgb="FF000000"/>
      <name val="Arial"/>
    </font>
  </fonts>
  <fills count="10">
    <fill>
      <patternFill patternType="none"/>
    </fill>
    <fill>
      <patternFill patternType="lightGray"/>
    </fill>
    <fill>
      <patternFill patternType="solid">
        <fgColor rgb="FFDDEBF7"/>
        <bgColor rgb="FFDDEBF7"/>
      </patternFill>
    </fill>
    <fill>
      <patternFill patternType="solid">
        <fgColor rgb="FFB8CCE4"/>
        <bgColor rgb="FFB8CCE4"/>
      </patternFill>
    </fill>
    <fill>
      <patternFill patternType="solid">
        <fgColor rgb="FFDBE5F1"/>
        <bgColor rgb="FFDBE5F1"/>
      </patternFill>
    </fill>
    <fill>
      <patternFill patternType="solid">
        <fgColor rgb="FFFFFF00"/>
        <bgColor rgb="FFFFFF00"/>
      </patternFill>
    </fill>
    <fill>
      <patternFill patternType="solid">
        <fgColor rgb="FFEEEEEE"/>
        <bgColor rgb="FFEEEEEE"/>
      </patternFill>
    </fill>
    <fill>
      <patternFill patternType="solid">
        <fgColor rgb="FFFF0000"/>
        <bgColor rgb="FFFF0000"/>
      </patternFill>
    </fill>
    <fill>
      <patternFill patternType="solid">
        <fgColor rgb="FFD9EAD3"/>
        <bgColor rgb="FFD9EAD3"/>
      </patternFill>
    </fill>
    <fill>
      <patternFill patternType="solid">
        <fgColor theme="0"/>
        <bgColor theme="0"/>
      </patternFill>
    </fill>
  </fills>
  <borders count="4">
    <border/>
    <border>
      <left/>
      <right/>
      <top/>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Alignment="1" applyFont="1">
      <alignment shrinkToFit="0" vertical="bottom" wrapText="0"/>
    </xf>
    <xf borderId="0" fillId="0" fontId="3" numFmtId="0" xfId="0" applyAlignment="1" applyFont="1">
      <alignment shrinkToFit="0" vertical="top" wrapText="1"/>
    </xf>
    <xf borderId="1" fillId="2" fontId="4" numFmtId="49" xfId="0" applyAlignment="1" applyBorder="1" applyFill="1" applyFont="1" applyNumberFormat="1">
      <alignment horizontal="left" shrinkToFit="0" vertical="center" wrapText="0"/>
    </xf>
    <xf borderId="0" fillId="0" fontId="2" numFmtId="0" xfId="0" applyAlignment="1" applyFont="1">
      <alignment shrinkToFit="0" vertical="top" wrapText="1"/>
    </xf>
    <xf borderId="0" fillId="0" fontId="1" numFmtId="0" xfId="0" applyAlignment="1" applyFont="1">
      <alignment shrinkToFit="0" vertical="top" wrapText="1"/>
    </xf>
    <xf borderId="0" fillId="0" fontId="2" numFmtId="0" xfId="0" applyAlignment="1" applyFont="1">
      <alignment shrinkToFit="0" vertical="center" wrapText="0"/>
    </xf>
    <xf borderId="2" fillId="3" fontId="5" numFmtId="0" xfId="0" applyAlignment="1" applyBorder="1" applyFill="1" applyFont="1">
      <alignment shrinkToFit="0" vertical="top" wrapText="1"/>
    </xf>
    <xf borderId="0" fillId="0" fontId="6" numFmtId="0" xfId="0" applyAlignment="1" applyFont="1">
      <alignment shrinkToFit="0" vertical="center" wrapText="0"/>
    </xf>
    <xf borderId="0" fillId="0" fontId="2" numFmtId="0" xfId="0" applyAlignment="1" applyFont="1">
      <alignment horizontal="center" shrinkToFit="0" vertical="center" wrapText="0"/>
    </xf>
    <xf borderId="0" fillId="0" fontId="1" numFmtId="0" xfId="0" applyAlignment="1" applyFont="1">
      <alignment horizontal="left" readingOrder="0" shrinkToFit="0" vertical="center" wrapText="1"/>
    </xf>
    <xf borderId="0" fillId="0" fontId="7" numFmtId="0" xfId="0" applyAlignment="1" applyFont="1">
      <alignment shrinkToFit="0" wrapText="1"/>
    </xf>
    <xf borderId="0" fillId="0" fontId="2" numFmtId="0" xfId="0" applyAlignment="1" applyFont="1">
      <alignment shrinkToFit="0" vertical="center" wrapText="1"/>
    </xf>
    <xf borderId="0" fillId="0" fontId="2" numFmtId="0" xfId="0" applyAlignment="1" applyFont="1">
      <alignment shrinkToFit="0" vertical="center" wrapText="0"/>
    </xf>
    <xf borderId="2" fillId="3" fontId="5" numFmtId="0" xfId="0" applyAlignment="1" applyBorder="1" applyFill="1" applyFont="1">
      <alignment horizontal="right" shrinkToFit="0" vertical="top" wrapText="1"/>
    </xf>
    <xf borderId="2" fillId="4" fontId="5" numFmtId="0" xfId="0" applyAlignment="1" applyBorder="1" applyFill="1" applyFont="1">
      <alignment shrinkToFit="0" vertical="top" wrapText="1"/>
    </xf>
    <xf borderId="0" fillId="0" fontId="2" numFmtId="0" xfId="0" applyAlignment="1" applyFont="1">
      <alignment shrinkToFit="0" vertical="center" wrapText="0"/>
    </xf>
    <xf borderId="0" fillId="0" fontId="2" numFmtId="9" xfId="0" applyAlignment="1" applyFont="1" applyNumberFormat="1">
      <alignment shrinkToFit="0" vertical="center" wrapText="0"/>
    </xf>
    <xf borderId="2" fillId="4" fontId="5" numFmtId="0" xfId="0" applyAlignment="1" applyBorder="1" applyFill="1" applyFont="1">
      <alignment horizontal="right" shrinkToFit="0" vertical="top" wrapText="1"/>
    </xf>
    <xf borderId="0" fillId="0" fontId="8" numFmtId="0" xfId="0" applyAlignment="1" applyFont="1">
      <alignment shrinkToFit="0" vertical="bottom" wrapText="0"/>
    </xf>
    <xf borderId="0" fillId="0" fontId="9" numFmtId="0" xfId="0" applyAlignment="1" applyFont="1">
      <alignment shrinkToFit="0" vertical="center" wrapText="0"/>
    </xf>
    <xf borderId="0" fillId="0" fontId="1" numFmtId="0" xfId="0" applyAlignment="1" applyFont="1">
      <alignment shrinkToFit="0" vertical="bottom" wrapText="0"/>
    </xf>
    <xf borderId="1" fillId="5" fontId="2" numFmtId="0" xfId="0" applyAlignment="1" applyBorder="1" applyFill="1" applyFont="1">
      <alignment shrinkToFit="0" vertical="center" wrapText="0"/>
    </xf>
    <xf borderId="1" fillId="5" fontId="10" numFmtId="0" xfId="0" applyAlignment="1" applyBorder="1" applyFill="1" applyFont="1">
      <alignment shrinkToFit="0" vertical="bottom" wrapText="0"/>
    </xf>
    <xf borderId="0" fillId="0" fontId="11" numFmtId="0" xfId="0" applyAlignment="1" applyFont="1">
      <alignment shrinkToFit="0" vertical="bottom" wrapText="0"/>
    </xf>
    <xf borderId="1" fillId="6" fontId="1" numFmtId="0" xfId="0" applyAlignment="1" applyBorder="1" applyFill="1" applyFont="1">
      <alignment shrinkToFit="0" vertical="bottom" wrapText="0"/>
    </xf>
    <xf borderId="0" fillId="0" fontId="12" numFmtId="0" xfId="0" applyAlignment="1" applyFont="1">
      <alignment shrinkToFit="0" vertical="center" wrapText="0"/>
    </xf>
    <xf borderId="0" fillId="0" fontId="2" numFmtId="9" xfId="0" applyAlignment="1" applyFont="1" applyNumberFormat="1">
      <alignment shrinkToFit="0" vertical="bottom" wrapText="0"/>
    </xf>
    <xf borderId="0" fillId="0" fontId="13" numFmtId="0" xfId="0" applyAlignment="1" applyFont="1">
      <alignment shrinkToFit="0" vertical="center" wrapText="0"/>
    </xf>
    <xf borderId="0" fillId="0" fontId="2" numFmtId="2" xfId="0" applyAlignment="1" applyFont="1" applyNumberFormat="1">
      <alignment shrinkToFit="0" vertical="bottom" wrapText="0"/>
    </xf>
    <xf borderId="1" fillId="7" fontId="12" numFmtId="0" xfId="0" applyAlignment="1" applyBorder="1" applyFill="1" applyFont="1">
      <alignment shrinkToFit="0" vertical="center" wrapText="0"/>
    </xf>
    <xf borderId="1" fillId="8" fontId="12" numFmtId="0" xfId="0" applyAlignment="1" applyBorder="1" applyFill="1" applyFont="1">
      <alignment shrinkToFit="0" vertical="center" wrapText="0"/>
    </xf>
    <xf borderId="1" fillId="8" fontId="2" numFmtId="0" xfId="0" applyAlignment="1" applyBorder="1" applyFill="1" applyFont="1">
      <alignment shrinkToFit="0" vertical="center" wrapText="0"/>
    </xf>
    <xf borderId="1" fillId="9" fontId="2" numFmtId="0" xfId="0" applyAlignment="1" applyBorder="1" applyFill="1" applyFont="1">
      <alignment shrinkToFit="0" vertical="center" wrapText="0"/>
    </xf>
    <xf borderId="0" fillId="0" fontId="1" numFmtId="9" xfId="0" applyAlignment="1" applyFont="1" applyNumberFormat="1">
      <alignment shrinkToFit="0" vertical="bottom" wrapText="0"/>
    </xf>
    <xf borderId="0" fillId="0" fontId="1" numFmtId="2" xfId="0" applyAlignment="1" applyFont="1" applyNumberFormat="1">
      <alignment shrinkToFit="0" vertical="bottom" wrapText="0"/>
    </xf>
    <xf borderId="3" fillId="4" fontId="5" numFmtId="0" xfId="0" applyAlignment="1" applyBorder="1" applyFill="1" applyFont="1">
      <alignment shrinkToFit="0" vertical="top" wrapText="1"/>
    </xf>
    <xf borderId="3" fillId="4" fontId="5" numFmtId="0" xfId="0" applyAlignment="1" applyBorder="1" applyFill="1" applyFont="1">
      <alignment horizontal="right" shrinkToFit="0" vertical="top" wrapText="1"/>
    </xf>
    <xf borderId="1" fillId="6" fontId="1" numFmtId="0" xfId="0" applyAlignment="1" applyBorder="1" applyFill="1" applyFont="1">
      <alignment shrinkToFit="0" vertical="top" wrapText="1"/>
    </xf>
    <xf borderId="0" fillId="6" fontId="14" numFmtId="0" xfId="0" applyAlignment="1" applyFill="1" applyFont="1">
      <alignment readingOrder="0" shrinkToFit="0" vertical="top" wrapText="1"/>
    </xf>
    <xf borderId="0" fillId="0" fontId="11" numFmtId="0" xfId="0" applyAlignment="1" applyFont="1">
      <alignment readingOrder="0" shrinkToFit="0" vertical="bottom" wrapText="0"/>
    </xf>
    <xf borderId="0" fillId="0" fontId="15" numFmtId="0" xfId="0" applyAlignment="1" applyFont="1">
      <alignment readingOrder="0" shrinkToFit="0" vertical="bottom" wrapText="1"/>
    </xf>
    <xf borderId="0" fillId="0" fontId="15" numFmtId="0" xfId="0" applyAlignment="1" applyFont="1">
      <alignment horizontal="right" readingOrder="0" shrinkToFit="0" vertical="bottom" wrapText="0"/>
    </xf>
    <xf borderId="0" fillId="0" fontId="16" numFmtId="0" xfId="0" applyAlignment="1" applyFont="1">
      <alignment shrinkToFit="0" vertical="bottom" wrapText="0"/>
    </xf>
    <xf borderId="0" fillId="0" fontId="14" numFmtId="0" xfId="0" applyAlignment="1" applyFont="1">
      <alignment readingOrder="0" shrinkToFit="0" vertical="bottom" wrapText="0"/>
    </xf>
    <xf borderId="0" fillId="0" fontId="14" numFmtId="0" xfId="0" applyAlignment="1" applyFont="1">
      <alignment horizontal="right" readingOrder="0" shrinkToFit="0" vertical="bottom" wrapText="0"/>
    </xf>
    <xf borderId="0" fillId="0" fontId="2" numFmtId="164" xfId="0" applyAlignment="1" applyFont="1" applyNumberFormat="1">
      <alignment shrinkToFit="0" vertical="bottom" wrapText="0"/>
    </xf>
    <xf borderId="1" fillId="6" fontId="1" numFmtId="164" xfId="0" applyAlignment="1" applyBorder="1" applyFill="1" applyFont="1" applyNumberForma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cor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9" displayName="Table1" name="Table1" id="1">
  <tableColumns count="4">
    <tableColumn name="Person" id="1"/>
    <tableColumn name="Answered (revealed)" id="2"/>
    <tableColumn name="Matches key" id="3"/>
    <tableColumn name="Agreement" id="4"/>
  </tableColumns>
  <tableStyleInfo name="Scor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23.5"/>
    <col customWidth="1" min="3" max="3" width="36.13"/>
    <col customWidth="1" min="4" max="4" width="19.88"/>
    <col customWidth="1" min="5" max="5" width="12.13"/>
    <col customWidth="1" min="6" max="6" width="10.63"/>
    <col customWidth="1" min="7" max="7" width="9.0"/>
    <col customWidth="1" min="8" max="8" width="9.38"/>
    <col customWidth="1" min="9" max="9" width="9.13"/>
    <col customWidth="1" min="10" max="10" width="10.38"/>
    <col customWidth="1" min="11" max="11" width="12.13"/>
    <col customWidth="1" min="12" max="12" width="9.13"/>
    <col customWidth="1" min="13" max="13" width="5.13"/>
    <col customWidth="1" min="14" max="14" width="15.63"/>
    <col customWidth="1" min="16" max="16" width="17.5"/>
    <col customWidth="1" min="18" max="18" width="52.63"/>
    <col customWidth="1" min="19" max="19" width="56.0"/>
    <col customWidth="1" min="20" max="20" width="53.63"/>
    <col customWidth="1" min="21" max="21" width="58.0"/>
    <col customWidth="1" min="22" max="22" width="57.0"/>
  </cols>
  <sheetData>
    <row r="1" ht="22.5" customHeight="1">
      <c r="A1" s="1" t="s">
        <v>0</v>
      </c>
      <c r="B1" s="4" t="s">
        <v>3</v>
      </c>
      <c r="C1" s="4" t="s">
        <v>13</v>
      </c>
      <c r="D1" s="4" t="s">
        <v>14</v>
      </c>
      <c r="E1" s="1" t="s">
        <v>17</v>
      </c>
      <c r="F1" s="1" t="s">
        <v>18</v>
      </c>
      <c r="G1" s="1" t="s">
        <v>20</v>
      </c>
      <c r="H1" s="1" t="s">
        <v>22</v>
      </c>
      <c r="I1" s="1" t="s">
        <v>24</v>
      </c>
      <c r="J1" s="1" t="s">
        <v>26</v>
      </c>
      <c r="K1" s="1" t="s">
        <v>28</v>
      </c>
      <c r="L1" s="1" t="s">
        <v>31</v>
      </c>
      <c r="M1" s="1" t="s">
        <v>35</v>
      </c>
      <c r="N1" s="1" t="s">
        <v>37</v>
      </c>
      <c r="O1" s="1" t="s">
        <v>38</v>
      </c>
      <c r="P1" s="1" t="s">
        <v>4</v>
      </c>
      <c r="Q1" s="1" t="s">
        <v>41</v>
      </c>
      <c r="R1" s="1" t="s">
        <v>5</v>
      </c>
      <c r="S1" s="4" t="s">
        <v>43</v>
      </c>
      <c r="T1" s="4" t="s">
        <v>46</v>
      </c>
      <c r="U1" s="4" t="s">
        <v>48</v>
      </c>
      <c r="V1" s="4" t="s">
        <v>50</v>
      </c>
      <c r="W1" s="4" t="s">
        <v>52</v>
      </c>
    </row>
    <row r="2" ht="247.5" customHeight="1">
      <c r="A2" s="7" t="s">
        <v>7</v>
      </c>
      <c r="B2" s="8" t="s">
        <v>59</v>
      </c>
      <c r="C2" s="8" t="s">
        <v>65</v>
      </c>
      <c r="D2" s="8" t="s">
        <v>68</v>
      </c>
      <c r="E2" s="9" t="s">
        <v>8</v>
      </c>
      <c r="F2" s="9"/>
      <c r="G2" s="9" t="s">
        <v>8</v>
      </c>
      <c r="H2" s="9" t="s">
        <v>8</v>
      </c>
      <c r="I2" s="9" t="s">
        <v>8</v>
      </c>
      <c r="J2" s="9" t="s">
        <v>8</v>
      </c>
      <c r="K2" s="9" t="s">
        <v>12</v>
      </c>
      <c r="L2" s="9" t="s">
        <v>33</v>
      </c>
      <c r="M2" s="7">
        <f t="shared" ref="M2:M31" si="1">COUNTA(E2:L2)</f>
        <v>7</v>
      </c>
      <c r="N2" s="10" t="b">
        <f t="shared" ref="N2:N31" si="2">TRUE()</f>
        <v>1</v>
      </c>
      <c r="O2" s="7" t="str">
        <f>IF($N2,Key!B2,"")</f>
        <v>Application</v>
      </c>
      <c r="P2" s="7" t="str">
        <f>IF($N2,Key!C2,"")</f>
        <v/>
      </c>
      <c r="Q2" s="7" t="str">
        <f>IF(N2,SUMPRODUCT(--(((E2:L2=Key!B2)+((Key!C2&lt;&gt;"")*(E2:L2=Key!C2)))&gt;0))&amp;" of "&amp;COUNTA(E2:L2),"")</f>
        <v>5 of 7</v>
      </c>
      <c r="R2" s="13" t="str">
        <f>IF(N2,Key!D2&amp;": "&amp;Key!E2,"")</f>
        <v>R-EV: The current work uses the target's dataset (YouTubeBB) in its own experiments: Application.</v>
      </c>
      <c r="S2" s="8" t="s">
        <v>133</v>
      </c>
      <c r="T2" s="8" t="s">
        <v>134</v>
      </c>
      <c r="U2" s="8" t="s">
        <v>135</v>
      </c>
      <c r="V2" s="8" t="s">
        <v>136</v>
      </c>
      <c r="W2" s="15">
        <v>1.0</v>
      </c>
    </row>
    <row r="3" ht="185.25" customHeight="1">
      <c r="A3" s="7" t="s">
        <v>11</v>
      </c>
      <c r="B3" s="16" t="s">
        <v>137</v>
      </c>
      <c r="C3" s="16" t="s">
        <v>138</v>
      </c>
      <c r="D3" s="16" t="s">
        <v>139</v>
      </c>
      <c r="E3" s="9" t="s">
        <v>12</v>
      </c>
      <c r="F3" s="9"/>
      <c r="G3" s="9" t="s">
        <v>15</v>
      </c>
      <c r="H3" s="9" t="s">
        <v>15</v>
      </c>
      <c r="I3" s="9" t="s">
        <v>12</v>
      </c>
      <c r="J3" s="9" t="s">
        <v>15</v>
      </c>
      <c r="K3" s="9" t="s">
        <v>12</v>
      </c>
      <c r="L3" s="9" t="s">
        <v>12</v>
      </c>
      <c r="M3" s="7">
        <f t="shared" si="1"/>
        <v>7</v>
      </c>
      <c r="N3" s="10" t="b">
        <f t="shared" si="2"/>
        <v>1</v>
      </c>
      <c r="O3" s="7" t="str">
        <f>IF(N3,Key!B3,"")</f>
        <v>Basis</v>
      </c>
      <c r="P3" s="7" t="str">
        <f>IF($N3,Key!C3,"")</f>
        <v>Improvement/Modification</v>
      </c>
      <c r="Q3" s="7" t="str">
        <f>IF(N3,SUMPRODUCT(--(((E3:L3=Key!B3)+((Key!C3&lt;&gt;"")*(E3:L3=Key!C3)))&gt;0))&amp;" of "&amp;COUNTA(E3:L3),"")</f>
        <v>7 of 7</v>
      </c>
      <c r="R3" s="13" t="str">
        <f>IF(N3,Key!D3&amp;": "&amp;Key!E3,"")</f>
        <v>R-EV, R-IM: Inspired by [T] … and we extend it': the current work builds on the target's model as its starting point; 'extend it' can also be read as adapting the target's method.</v>
      </c>
      <c r="S3" s="16" t="s">
        <v>140</v>
      </c>
      <c r="T3" s="16" t="s">
        <v>141</v>
      </c>
      <c r="U3" s="16" t="s">
        <v>142</v>
      </c>
      <c r="V3" s="16" t="s">
        <v>143</v>
      </c>
      <c r="W3" s="19">
        <v>2.0</v>
      </c>
    </row>
    <row r="4" ht="409.5" customHeight="1">
      <c r="A4" s="7" t="s">
        <v>21</v>
      </c>
      <c r="B4" s="8" t="s">
        <v>144</v>
      </c>
      <c r="C4" s="8" t="s">
        <v>145</v>
      </c>
      <c r="D4" s="8" t="s">
        <v>146</v>
      </c>
      <c r="E4" s="9" t="s">
        <v>23</v>
      </c>
      <c r="F4" s="9"/>
      <c r="G4" s="9" t="s">
        <v>23</v>
      </c>
      <c r="H4" s="9" t="s">
        <v>23</v>
      </c>
      <c r="I4" s="9" t="s">
        <v>33</v>
      </c>
      <c r="J4" s="9" t="s">
        <v>23</v>
      </c>
      <c r="K4" s="9" t="s">
        <v>23</v>
      </c>
      <c r="L4" s="9" t="s">
        <v>23</v>
      </c>
      <c r="M4" s="7">
        <f t="shared" si="1"/>
        <v>7</v>
      </c>
      <c r="N4" s="10" t="b">
        <f t="shared" si="2"/>
        <v>1</v>
      </c>
      <c r="O4" s="7" t="str">
        <f>IF(N4,Key!B4,"")</f>
        <v>Further Reading</v>
      </c>
      <c r="P4" s="7" t="str">
        <f>IF($N4,Key!C4,"")</f>
        <v/>
      </c>
      <c r="Q4" s="7" t="str">
        <f>IF(N4,SUMPRODUCT(--(((E4:L4=Key!B4)+((Key!C4&lt;&gt;"")*(E4:L4=Key!C4)))&gt;0))&amp;" of "&amp;COUNTA(E4:L4),"")</f>
        <v>6 of 7</v>
      </c>
      <c r="R4" s="13" t="str">
        <f>IF(N4,Key!D4&amp;": "&amp;Key!E4,"")</f>
        <v>R-FR: For a detailed survey we refer the reader to [T]': a pointer, no other function.</v>
      </c>
      <c r="S4" s="8" t="s">
        <v>147</v>
      </c>
      <c r="T4" s="8" t="s">
        <v>148</v>
      </c>
      <c r="U4" s="8" t="s">
        <v>149</v>
      </c>
      <c r="V4" s="8" t="s">
        <v>151</v>
      </c>
      <c r="W4" s="15">
        <v>3.0</v>
      </c>
    </row>
    <row r="5" ht="143.25" customHeight="1">
      <c r="A5" s="7" t="s">
        <v>29</v>
      </c>
      <c r="B5" s="16" t="s">
        <v>152</v>
      </c>
      <c r="C5" s="16" t="s">
        <v>153</v>
      </c>
      <c r="D5" s="16" t="s">
        <v>154</v>
      </c>
      <c r="E5" s="21" t="s">
        <v>30</v>
      </c>
      <c r="F5" s="21"/>
      <c r="G5" s="21" t="s">
        <v>30</v>
      </c>
      <c r="H5" s="21" t="s">
        <v>30</v>
      </c>
      <c r="I5" s="21" t="s">
        <v>33</v>
      </c>
      <c r="J5" s="21" t="s">
        <v>30</v>
      </c>
      <c r="K5" s="21" t="s">
        <v>30</v>
      </c>
      <c r="L5" s="21" t="s">
        <v>33</v>
      </c>
      <c r="M5" s="7">
        <f t="shared" si="1"/>
        <v>7</v>
      </c>
      <c r="N5" s="10" t="b">
        <f t="shared" si="2"/>
        <v>1</v>
      </c>
      <c r="O5" s="7" t="str">
        <f>IF(N5,Key!B5,"")</f>
        <v>Gap</v>
      </c>
      <c r="P5" s="7" t="str">
        <f>IF($N5,Key!C5,"")</f>
        <v/>
      </c>
      <c r="Q5" s="7" t="str">
        <f>IF(N5,SUMPRODUCT(--(((E5:L5=Key!B5)+((Key!C5&lt;&gt;"")*(E5:L5=Key!C5)))&gt;0))&amp;" of "&amp;COUNTA(E5:L5),"")</f>
        <v>5 of 7</v>
      </c>
      <c r="R5" s="13" t="str">
        <f>IF(N5,Key!D5&amp;": "&amp;Key!E5,"")</f>
        <v>R-GAP: The limitation ('have not been developed for real-time inference') is stated about the cited architectures, citation right after them: Gap.</v>
      </c>
      <c r="S5" s="16" t="s">
        <v>156</v>
      </c>
      <c r="T5" s="16" t="s">
        <v>157</v>
      </c>
      <c r="U5" s="16" t="s">
        <v>158</v>
      </c>
      <c r="V5" s="16" t="s">
        <v>159</v>
      </c>
      <c r="W5" s="19">
        <v>3.0</v>
      </c>
    </row>
    <row r="6" ht="332.25" customHeight="1">
      <c r="A6" s="23" t="s">
        <v>36</v>
      </c>
      <c r="B6" s="8" t="s">
        <v>160</v>
      </c>
      <c r="C6" s="8" t="s">
        <v>161</v>
      </c>
      <c r="D6" s="8" t="s">
        <v>162</v>
      </c>
      <c r="E6" s="21" t="s">
        <v>8</v>
      </c>
      <c r="F6" s="21"/>
      <c r="G6" s="21" t="s">
        <v>15</v>
      </c>
      <c r="H6" s="21" t="s">
        <v>15</v>
      </c>
      <c r="I6" s="21" t="s">
        <v>8</v>
      </c>
      <c r="J6" s="21" t="s">
        <v>15</v>
      </c>
      <c r="K6" s="21" t="s">
        <v>8</v>
      </c>
      <c r="L6" s="21" t="s">
        <v>8</v>
      </c>
      <c r="M6" s="7">
        <f t="shared" si="1"/>
        <v>7</v>
      </c>
      <c r="N6" s="10" t="b">
        <f t="shared" si="2"/>
        <v>1</v>
      </c>
      <c r="O6" s="7" t="str">
        <f>IF(N6,Key!B6,"")</f>
        <v>Improvement/Modification</v>
      </c>
      <c r="P6" s="7" t="str">
        <f>IF($N6,Key!C6,"")</f>
        <v>Basis</v>
      </c>
      <c r="Q6" s="7" t="str">
        <f>IF(N6,SUMPRODUCT(--(((E6:L6=Key!B6)+((Key!C6&lt;&gt;"")*(E6:L6=Key!C6)))&gt;0))&amp;" of "&amp;COUNTA(E6:L6),"")</f>
        <v>3 of 7</v>
      </c>
      <c r="R6" s="13" t="str">
        <f>IF(N6,Key!D6&amp;": "&amp;Key!E6,"")</f>
        <v>R-IM: Our approach … via generalizing NeRF [T]': the current work extends the target's method.</v>
      </c>
      <c r="S6" s="8" t="s">
        <v>172</v>
      </c>
      <c r="T6" s="8" t="s">
        <v>173</v>
      </c>
      <c r="U6" s="8" t="s">
        <v>174</v>
      </c>
      <c r="V6" s="8" t="s">
        <v>175</v>
      </c>
      <c r="W6" s="15">
        <v>1.0</v>
      </c>
    </row>
    <row r="7" ht="258.0" customHeight="1">
      <c r="A7" s="23" t="s">
        <v>42</v>
      </c>
      <c r="B7" s="16" t="s">
        <v>176</v>
      </c>
      <c r="C7" s="16" t="s">
        <v>177</v>
      </c>
      <c r="D7" s="16" t="s">
        <v>178</v>
      </c>
      <c r="E7" s="27" t="s">
        <v>12</v>
      </c>
      <c r="F7" s="27"/>
      <c r="G7" s="27" t="s">
        <v>45</v>
      </c>
      <c r="H7" s="9" t="s">
        <v>12</v>
      </c>
      <c r="I7" s="27" t="s">
        <v>45</v>
      </c>
      <c r="J7" s="27" t="s">
        <v>45</v>
      </c>
      <c r="K7" s="27" t="s">
        <v>12</v>
      </c>
      <c r="L7" s="27" t="s">
        <v>45</v>
      </c>
      <c r="M7" s="7">
        <f t="shared" si="1"/>
        <v>7</v>
      </c>
      <c r="N7" s="10" t="b">
        <f t="shared" si="2"/>
        <v>1</v>
      </c>
      <c r="O7" s="7" t="str">
        <f>IF(N7,Key!B7,"")</f>
        <v>Comparison</v>
      </c>
      <c r="P7" s="7" t="str">
        <f>IF($N7,Key!C7,"")</f>
        <v/>
      </c>
      <c r="Q7" s="7" t="str">
        <f>IF(N7,SUMPRODUCT(--(((E7:L7=Key!B7)+((Key!C7&lt;&gt;"")*(E7:L7=Key!C7)))&gt;0))&amp;" of "&amp;COUNTA(E7:L7),"")</f>
        <v>4 of 7</v>
      </c>
      <c r="R7" s="13" t="str">
        <f>IF(N7,Key!D7&amp;": "&amp;Key!E7,"")</f>
        <v>R-CMP: Another cited work (SharpMask) is likened to the target ('similar to U-Net as developed by [T]'): Comparison between cited works.</v>
      </c>
      <c r="S7" s="16" t="s">
        <v>179</v>
      </c>
      <c r="T7" s="16" t="s">
        <v>180</v>
      </c>
      <c r="U7" s="16" t="s">
        <v>181</v>
      </c>
      <c r="V7" s="16" t="s">
        <v>182</v>
      </c>
      <c r="W7" s="19">
        <v>1.0</v>
      </c>
    </row>
    <row r="8" ht="378.75" customHeight="1">
      <c r="A8" s="7" t="s">
        <v>51</v>
      </c>
      <c r="B8" s="8" t="s">
        <v>183</v>
      </c>
      <c r="C8" s="8" t="s">
        <v>184</v>
      </c>
      <c r="D8" s="8" t="s">
        <v>185</v>
      </c>
      <c r="E8" s="9" t="s">
        <v>53</v>
      </c>
      <c r="F8" s="29"/>
      <c r="G8" s="27" t="s">
        <v>53</v>
      </c>
      <c r="H8" s="27" t="s">
        <v>53</v>
      </c>
      <c r="I8" s="27" t="s">
        <v>53</v>
      </c>
      <c r="J8" s="27" t="s">
        <v>53</v>
      </c>
      <c r="K8" s="27" t="s">
        <v>33</v>
      </c>
      <c r="L8" s="27" t="s">
        <v>33</v>
      </c>
      <c r="M8" s="7">
        <f t="shared" si="1"/>
        <v>7</v>
      </c>
      <c r="N8" s="10" t="b">
        <f t="shared" si="2"/>
        <v>1</v>
      </c>
      <c r="O8" s="7" t="str">
        <f>IF(N8,Key!B8,"")</f>
        <v>Evidence</v>
      </c>
      <c r="P8" s="7" t="str">
        <f>IF($N8,Key!C8,"")</f>
        <v/>
      </c>
      <c r="Q8" s="7" t="str">
        <f>IF(N8,SUMPRODUCT(--(((E8:L8=Key!B8)+((Key!C8&lt;&gt;"")*(E8:L8=Key!C8)))&gt;0))&amp;" of "&amp;COUNTA(E8:L8),"")</f>
        <v>5 of 7</v>
      </c>
      <c r="R8" s="13" t="str">
        <f>IF(N8,Key!D8&amp;": "&amp;Key!E8,"")</f>
        <v>R-EV: The target backs the authors' claim that perturbations transfer to other models (cited at the end of the claim): Evidence.</v>
      </c>
      <c r="S8" s="8" t="s">
        <v>186</v>
      </c>
      <c r="T8" s="8" t="s">
        <v>187</v>
      </c>
      <c r="U8" s="8" t="s">
        <v>188</v>
      </c>
      <c r="V8" s="8" t="s">
        <v>189</v>
      </c>
      <c r="W8" s="15">
        <v>1.0</v>
      </c>
    </row>
    <row r="9" ht="360.0" customHeight="1">
      <c r="A9" s="7" t="s">
        <v>56</v>
      </c>
      <c r="B9" s="16" t="s">
        <v>190</v>
      </c>
      <c r="C9" s="16" t="s">
        <v>191</v>
      </c>
      <c r="D9" s="16" t="s">
        <v>192</v>
      </c>
      <c r="E9" s="31" t="s">
        <v>33</v>
      </c>
      <c r="F9" s="27"/>
      <c r="G9" s="27" t="s">
        <v>45</v>
      </c>
      <c r="H9" s="27" t="s">
        <v>45</v>
      </c>
      <c r="I9" s="27" t="s">
        <v>45</v>
      </c>
      <c r="J9" s="27" t="s">
        <v>45</v>
      </c>
      <c r="K9" s="27" t="s">
        <v>33</v>
      </c>
      <c r="L9" s="27" t="s">
        <v>45</v>
      </c>
      <c r="M9" s="7">
        <f t="shared" si="1"/>
        <v>7</v>
      </c>
      <c r="N9" s="10" t="b">
        <f t="shared" si="2"/>
        <v>1</v>
      </c>
      <c r="O9" s="7" t="str">
        <f>IF(N9,Key!B9,"")</f>
        <v>Comparison</v>
      </c>
      <c r="P9" s="7" t="str">
        <f>IF($N9,Key!C9,"")</f>
        <v>Background</v>
      </c>
      <c r="Q9" s="7" t="str">
        <f>IF(N9,SUMPRODUCT(--(((E9:L9=Key!B9)+((Key!C9&lt;&gt;"")*(E9:L9=Key!C9)))&gt;0))&amp;" of "&amp;COUNTA(E9:L9),"")</f>
        <v>7 of 7</v>
      </c>
      <c r="R9" s="13" t="str">
        <f>IF(N9,Key!D9&amp;": "&amp;Key!E9,"")</f>
        <v>R-CMP: On the other hand' contrasts the target's goal (accuracy) with the previous cited work's (speed); read as a plain description it is Background.</v>
      </c>
      <c r="S9" s="16" t="s">
        <v>193</v>
      </c>
      <c r="T9" s="16" t="s">
        <v>194</v>
      </c>
      <c r="U9" s="16" t="s">
        <v>195</v>
      </c>
      <c r="V9" s="16" t="s">
        <v>196</v>
      </c>
      <c r="W9" s="19">
        <v>1.0</v>
      </c>
    </row>
    <row r="10" ht="271.5" customHeight="1">
      <c r="A10" s="7" t="s">
        <v>61</v>
      </c>
      <c r="B10" s="8" t="s">
        <v>197</v>
      </c>
      <c r="C10" s="8" t="s">
        <v>198</v>
      </c>
      <c r="D10" s="8" t="s">
        <v>199</v>
      </c>
      <c r="E10" s="27" t="s">
        <v>8</v>
      </c>
      <c r="F10" s="27"/>
      <c r="G10" s="27" t="s">
        <v>12</v>
      </c>
      <c r="H10" s="27" t="s">
        <v>8</v>
      </c>
      <c r="I10" s="27" t="s">
        <v>33</v>
      </c>
      <c r="J10" s="27" t="s">
        <v>8</v>
      </c>
      <c r="K10" s="27" t="s">
        <v>8</v>
      </c>
      <c r="L10" s="27" t="s">
        <v>8</v>
      </c>
      <c r="M10" s="7">
        <f t="shared" si="1"/>
        <v>7</v>
      </c>
      <c r="N10" s="10" t="b">
        <f t="shared" si="2"/>
        <v>1</v>
      </c>
      <c r="O10" s="7" t="str">
        <f>IF(N10,Key!B10,"")</f>
        <v>Application</v>
      </c>
      <c r="P10" s="7" t="str">
        <f>IF($N10,Key!C10,"")</f>
        <v>Basis</v>
      </c>
      <c r="Q10" s="7" t="str">
        <f>IF(N10,SUMPRODUCT(--(((E10:L10=Key!B10)+((Key!C10&lt;&gt;"")*(E10:L10=Key!C10)))&gt;0))&amp;" of "&amp;COUNTA(E10:L10),"")</f>
        <v>6 of 7</v>
      </c>
      <c r="R10" s="13" t="str">
        <f>IF(N10,Key!D10&amp;": "&amp;Key!E10,"")</f>
        <v>R-EV: The dense connectivity of the target is used as is in the current model ('following [T]'): Application.</v>
      </c>
      <c r="S10" s="8" t="s">
        <v>200</v>
      </c>
      <c r="T10" s="8" t="s">
        <v>201</v>
      </c>
      <c r="U10" s="8" t="s">
        <v>202</v>
      </c>
      <c r="V10" s="8" t="s">
        <v>203</v>
      </c>
      <c r="W10" s="15">
        <v>1.0</v>
      </c>
    </row>
    <row r="11" ht="409.5" customHeight="1">
      <c r="A11" s="23" t="s">
        <v>66</v>
      </c>
      <c r="B11" s="16" t="s">
        <v>204</v>
      </c>
      <c r="C11" s="16" t="s">
        <v>205</v>
      </c>
      <c r="D11" s="16" t="s">
        <v>206</v>
      </c>
      <c r="E11" s="27" t="s">
        <v>30</v>
      </c>
      <c r="F11" s="27"/>
      <c r="G11" s="27" t="s">
        <v>30</v>
      </c>
      <c r="H11" s="27" t="s">
        <v>45</v>
      </c>
      <c r="I11" s="27" t="s">
        <v>45</v>
      </c>
      <c r="J11" s="27" t="s">
        <v>53</v>
      </c>
      <c r="K11" s="27" t="s">
        <v>33</v>
      </c>
      <c r="L11" s="27" t="s">
        <v>45</v>
      </c>
      <c r="M11" s="7">
        <f t="shared" si="1"/>
        <v>7</v>
      </c>
      <c r="N11" s="10" t="b">
        <f t="shared" si="2"/>
        <v>1</v>
      </c>
      <c r="O11" s="7" t="str">
        <f>IF(N11,Key!B11,"")</f>
        <v>Evidence</v>
      </c>
      <c r="P11" s="7" t="str">
        <f>IF($N11,Key!C11,"")</f>
        <v>Gap</v>
      </c>
      <c r="Q11" s="7" t="str">
        <f>IF(N11,SUMPRODUCT(--(((E11:L11=Key!B11)+((Key!C11&lt;&gt;"")*(E11:L11=Key!C11)))&gt;0))&amp;" of "&amp;COUNTA(E11:L11),"")</f>
        <v>3 of 7</v>
      </c>
      <c r="R11" s="13" t="str">
        <f>IF(N11,Key!D11&amp;": "&amp;Key!E11,"")</f>
        <v>R-GAP: The list closes the claim about pancreas segmentation accuracy, so by the position test the cited works are cited as the source of that statement: Evidence. Read as the works that have the low accuracy, Gap is also acceptable.</v>
      </c>
      <c r="S11" s="16" t="s">
        <v>207</v>
      </c>
      <c r="T11" s="16" t="s">
        <v>208</v>
      </c>
      <c r="U11" s="16" t="s">
        <v>209</v>
      </c>
      <c r="V11" s="16" t="s">
        <v>210</v>
      </c>
      <c r="W11" s="19">
        <v>6.0</v>
      </c>
    </row>
    <row r="12" ht="275.25" customHeight="1">
      <c r="A12" s="7" t="s">
        <v>72</v>
      </c>
      <c r="B12" s="8" t="s">
        <v>211</v>
      </c>
      <c r="C12" s="8" t="s">
        <v>212</v>
      </c>
      <c r="D12" s="8" t="s">
        <v>213</v>
      </c>
      <c r="E12" s="27" t="s">
        <v>15</v>
      </c>
      <c r="F12" s="27"/>
      <c r="G12" s="27" t="s">
        <v>12</v>
      </c>
      <c r="H12" s="27" t="s">
        <v>15</v>
      </c>
      <c r="I12" s="27" t="s">
        <v>15</v>
      </c>
      <c r="J12" s="27" t="s">
        <v>15</v>
      </c>
      <c r="K12" s="27" t="s">
        <v>15</v>
      </c>
      <c r="L12" s="27" t="s">
        <v>15</v>
      </c>
      <c r="M12" s="7">
        <f t="shared" si="1"/>
        <v>7</v>
      </c>
      <c r="N12" s="10" t="b">
        <f t="shared" si="2"/>
        <v>1</v>
      </c>
      <c r="O12" s="7" t="str">
        <f>IF(N12,Key!B12,"")</f>
        <v>Improvement/Modification</v>
      </c>
      <c r="P12" s="7" t="str">
        <f>IF($N12,Key!C12,"")</f>
        <v/>
      </c>
      <c r="Q12" s="7" t="str">
        <f>IF(N12,SUMPRODUCT(--(((E12:L12=Key!B12)+((Key!C12&lt;&gt;"")*(E12:L12=Key!C12)))&gt;0))&amp;" of "&amp;COUNTA(E12:L12),"")</f>
        <v>6 of 7</v>
      </c>
      <c r="R12" s="13" t="str">
        <f>IF(N12,Key!D12&amp;": "&amp;Key!E12,"")</f>
        <v>R-IM: ResNet-18 [T]: We modify the size of all convolutional kernels…': a described change to the target's network.</v>
      </c>
      <c r="S12" s="8" t="s">
        <v>214</v>
      </c>
      <c r="T12" s="8" t="s">
        <v>215</v>
      </c>
      <c r="U12" s="8" t="s">
        <v>216</v>
      </c>
      <c r="V12" s="8" t="s">
        <v>217</v>
      </c>
      <c r="W12" s="15">
        <v>1.0</v>
      </c>
    </row>
    <row r="13" ht="409.5" customHeight="1">
      <c r="A13" s="7" t="s">
        <v>77</v>
      </c>
      <c r="B13" s="16" t="s">
        <v>218</v>
      </c>
      <c r="C13" s="16" t="s">
        <v>219</v>
      </c>
      <c r="D13" s="16" t="s">
        <v>220</v>
      </c>
      <c r="E13" s="27" t="s">
        <v>53</v>
      </c>
      <c r="F13" s="27"/>
      <c r="G13" s="27" t="s">
        <v>30</v>
      </c>
      <c r="H13" s="27" t="s">
        <v>33</v>
      </c>
      <c r="I13" s="27" t="s">
        <v>30</v>
      </c>
      <c r="J13" s="27" t="s">
        <v>33</v>
      </c>
      <c r="K13" s="27" t="s">
        <v>33</v>
      </c>
      <c r="L13" s="27" t="s">
        <v>30</v>
      </c>
      <c r="M13" s="7">
        <f t="shared" si="1"/>
        <v>7</v>
      </c>
      <c r="N13" s="10" t="b">
        <f t="shared" si="2"/>
        <v>1</v>
      </c>
      <c r="O13" s="7" t="str">
        <f>IF(N13,Key!B13,"")</f>
        <v>Background</v>
      </c>
      <c r="P13" s="7" t="str">
        <f>IF($N13,Key!C13,"")</f>
        <v>Gap</v>
      </c>
      <c r="Q13" s="7" t="str">
        <f>IF(N13,SUMPRODUCT(--(((E13:L13=Key!B13)+((Key!C13&lt;&gt;"")*(E13:L13=Key!C13)))&gt;0))&amp;" of "&amp;COUNTA(E13:L13),"")</f>
        <v>6 of 7</v>
      </c>
      <c r="R13" s="13" t="str">
        <f>IF(N13,Key!D13&amp;": "&amp;Key!E13,"")</f>
        <v>R-GAP: The gap is in the field ('multi-pose try-on has not been well studied'); no limitation is attributed to the listed works, so they are Background.</v>
      </c>
      <c r="S13" s="16" t="s">
        <v>221</v>
      </c>
      <c r="T13" s="16" t="s">
        <v>222</v>
      </c>
      <c r="U13" s="16" t="s">
        <v>223</v>
      </c>
      <c r="V13" s="16" t="s">
        <v>224</v>
      </c>
      <c r="W13" s="19">
        <v>12.0</v>
      </c>
    </row>
    <row r="14" ht="138.75" customHeight="1">
      <c r="A14" s="7" t="s">
        <v>82</v>
      </c>
      <c r="B14" s="8" t="s">
        <v>225</v>
      </c>
      <c r="C14" s="8" t="s">
        <v>226</v>
      </c>
      <c r="D14" s="8" t="s">
        <v>227</v>
      </c>
      <c r="E14" s="9" t="s">
        <v>69</v>
      </c>
      <c r="F14" s="9"/>
      <c r="G14" s="9" t="s">
        <v>69</v>
      </c>
      <c r="H14" s="9" t="s">
        <v>69</v>
      </c>
      <c r="I14" s="9" t="s">
        <v>69</v>
      </c>
      <c r="J14" s="9" t="s">
        <v>69</v>
      </c>
      <c r="K14" s="9" t="s">
        <v>69</v>
      </c>
      <c r="L14" s="9" t="s">
        <v>69</v>
      </c>
      <c r="M14" s="7">
        <f t="shared" si="1"/>
        <v>7</v>
      </c>
      <c r="N14" s="10" t="b">
        <f t="shared" si="2"/>
        <v>1</v>
      </c>
      <c r="O14" s="7" t="str">
        <f>IF(N14,Key!B14,"")</f>
        <v>Identification of the Originator</v>
      </c>
      <c r="P14" s="7" t="str">
        <f>IF($N14,Key!C14,"")</f>
        <v/>
      </c>
      <c r="Q14" s="7" t="str">
        <f>IF(N14,SUMPRODUCT(--(((E14:L14=Key!B14)+((Key!C14&lt;&gt;"")*(E14:L14=Key!C14)))&gt;0))&amp;" of "&amp;COUNTA(E14:L14),"")</f>
        <v>7 of 7</v>
      </c>
      <c r="R14" s="13" t="str">
        <f>IF(N14,Key!D14&amp;": "&amp;Key!E14,"")</f>
        <v>Originator: PSPNet [T] was the first to employ a pyramid pooling module': credited as first.</v>
      </c>
      <c r="S14" s="8" t="s">
        <v>228</v>
      </c>
      <c r="T14" s="8" t="s">
        <v>229</v>
      </c>
      <c r="U14" s="8" t="s">
        <v>230</v>
      </c>
      <c r="V14" s="8" t="s">
        <v>231</v>
      </c>
      <c r="W14" s="15">
        <v>1.0</v>
      </c>
    </row>
    <row r="15" ht="285.0" customHeight="1">
      <c r="A15" s="7" t="s">
        <v>86</v>
      </c>
      <c r="B15" s="16" t="s">
        <v>232</v>
      </c>
      <c r="C15" s="16" t="s">
        <v>233</v>
      </c>
      <c r="D15" s="16" t="s">
        <v>234</v>
      </c>
      <c r="E15" s="27" t="s">
        <v>12</v>
      </c>
      <c r="F15" s="27"/>
      <c r="G15" s="27" t="s">
        <v>12</v>
      </c>
      <c r="H15" s="27" t="s">
        <v>12</v>
      </c>
      <c r="I15" s="27" t="s">
        <v>23</v>
      </c>
      <c r="J15" s="27" t="s">
        <v>12</v>
      </c>
      <c r="K15" s="27" t="s">
        <v>12</v>
      </c>
      <c r="L15" s="27" t="s">
        <v>69</v>
      </c>
      <c r="M15" s="7">
        <f t="shared" si="1"/>
        <v>7</v>
      </c>
      <c r="N15" s="10" t="b">
        <f t="shared" si="2"/>
        <v>1</v>
      </c>
      <c r="O15" s="7" t="str">
        <f>IF(N15,Key!B15,"")</f>
        <v>Basis</v>
      </c>
      <c r="P15" s="7" t="str">
        <f>IF($N15,Key!C15,"")</f>
        <v>Evidence</v>
      </c>
      <c r="Q15" s="7" t="str">
        <f>IF(N15,SUMPRODUCT(--(((E15:L15=Key!B15)+((Key!C15&lt;&gt;"")*(E15:L15=Key!C15)))&gt;0))&amp;" of "&amp;COUNTA(E15:L15),"")</f>
        <v>5 of 7</v>
      </c>
      <c r="R15" s="13" t="str">
        <f>IF(N15,Key!D15&amp;": "&amp;Key!E15,"")</f>
        <v>R-EV: The target's insight is taken as a foundation of the current design ('so we decided to use this insight in our framework'); as a justification of that choice it is Evidence.</v>
      </c>
      <c r="S15" s="16" t="s">
        <v>235</v>
      </c>
      <c r="T15" s="16" t="s">
        <v>236</v>
      </c>
      <c r="U15" s="16" t="s">
        <v>237</v>
      </c>
      <c r="V15" s="16" t="s">
        <v>238</v>
      </c>
      <c r="W15" s="19">
        <v>1.0</v>
      </c>
    </row>
    <row r="16" ht="258.0" customHeight="1">
      <c r="A16" s="7" t="s">
        <v>90</v>
      </c>
      <c r="B16" s="8" t="s">
        <v>239</v>
      </c>
      <c r="C16" s="8" t="s">
        <v>240</v>
      </c>
      <c r="D16" s="8" t="s">
        <v>213</v>
      </c>
      <c r="E16" s="27" t="s">
        <v>33</v>
      </c>
      <c r="F16" s="27"/>
      <c r="G16" s="32" t="s">
        <v>45</v>
      </c>
      <c r="H16" s="27" t="s">
        <v>12</v>
      </c>
      <c r="I16" s="27" t="s">
        <v>15</v>
      </c>
      <c r="J16" s="32" t="s">
        <v>8</v>
      </c>
      <c r="K16" s="32" t="s">
        <v>8</v>
      </c>
      <c r="L16" s="33" t="s">
        <v>8</v>
      </c>
      <c r="M16" s="7">
        <f t="shared" si="1"/>
        <v>7</v>
      </c>
      <c r="N16" s="10" t="b">
        <f t="shared" si="2"/>
        <v>1</v>
      </c>
      <c r="O16" s="7" t="str">
        <f>IF(N16,Key!B16,"")</f>
        <v>Application</v>
      </c>
      <c r="P16" s="7" t="str">
        <f>IF($N16,Key!C16,"")</f>
        <v>Comparison</v>
      </c>
      <c r="Q16" s="7" t="str">
        <f>IF(N16,SUMPRODUCT(--(((E16:L16=Key!B16)+((Key!C16&lt;&gt;"")*(E16:L16=Key!C16)))&gt;0))&amp;" of "&amp;COUNTA(E16:L16),"")</f>
        <v>4 of 7</v>
      </c>
      <c r="R16" s="13" t="str">
        <f>IF(N16,Key!D16&amp;": "&amp;Key!E16,"")</f>
        <v>R-EV: ResNet-50 is the model the current work uses in its own experiments; 'outperforms its vanilla counterpart' compares two versions of it, not the current work with the target.</v>
      </c>
      <c r="S16" s="8" t="s">
        <v>214</v>
      </c>
      <c r="T16" s="8" t="s">
        <v>241</v>
      </c>
      <c r="U16" s="8" t="s">
        <v>242</v>
      </c>
      <c r="V16" s="8" t="s">
        <v>243</v>
      </c>
      <c r="W16" s="15">
        <v>1.0</v>
      </c>
    </row>
    <row r="17" ht="399.75" customHeight="1">
      <c r="A17" s="7" t="s">
        <v>94</v>
      </c>
      <c r="B17" s="16" t="s">
        <v>244</v>
      </c>
      <c r="C17" s="16" t="s">
        <v>245</v>
      </c>
      <c r="D17" s="16" t="s">
        <v>246</v>
      </c>
      <c r="E17" s="27" t="s">
        <v>45</v>
      </c>
      <c r="F17" s="27"/>
      <c r="G17" s="27" t="s">
        <v>45</v>
      </c>
      <c r="H17" s="27" t="s">
        <v>23</v>
      </c>
      <c r="I17" s="27" t="s">
        <v>23</v>
      </c>
      <c r="J17" s="27" t="s">
        <v>33</v>
      </c>
      <c r="K17" s="27" t="s">
        <v>45</v>
      </c>
      <c r="L17" s="27" t="s">
        <v>8</v>
      </c>
      <c r="M17" s="7">
        <f t="shared" si="1"/>
        <v>7</v>
      </c>
      <c r="N17" s="10" t="b">
        <f t="shared" si="2"/>
        <v>1</v>
      </c>
      <c r="O17" s="7" t="str">
        <f>IF(N17,Key!B17,"")</f>
        <v>Background</v>
      </c>
      <c r="P17" s="7" t="str">
        <f>IF($N17,Key!C17,"")</f>
        <v/>
      </c>
      <c r="Q17" s="7" t="str">
        <f>IF(N17,SUMPRODUCT(--(((E17:L17=Key!B17)+((Key!C17&lt;&gt;"")*(E17:L17=Key!C17)))&gt;0))&amp;" of "&amp;COUNTA(E17:L17),"")</f>
        <v>1 of 7</v>
      </c>
      <c r="R17" s="13" t="str">
        <f>IF(N17,Key!D17&amp;": "&amp;Key!E17,"")</f>
        <v>R-CMP: The target is one example (colorization) of a family of approaches contrasted as a whole: Background.</v>
      </c>
      <c r="S17" s="16" t="s">
        <v>247</v>
      </c>
      <c r="T17" s="16" t="s">
        <v>248</v>
      </c>
      <c r="U17" s="16" t="s">
        <v>249</v>
      </c>
      <c r="V17" s="16" t="s">
        <v>250</v>
      </c>
      <c r="W17" s="19">
        <v>1.0</v>
      </c>
    </row>
    <row r="18" ht="240.75" customHeight="1">
      <c r="A18" s="7" t="s">
        <v>99</v>
      </c>
      <c r="B18" s="8" t="s">
        <v>251</v>
      </c>
      <c r="C18" s="8" t="s">
        <v>252</v>
      </c>
      <c r="D18" s="8" t="s">
        <v>253</v>
      </c>
      <c r="E18" s="34" t="s">
        <v>23</v>
      </c>
      <c r="F18" s="34"/>
      <c r="G18" s="34" t="s">
        <v>23</v>
      </c>
      <c r="H18" s="34" t="s">
        <v>23</v>
      </c>
      <c r="I18" s="34" t="s">
        <v>45</v>
      </c>
      <c r="J18" s="34"/>
      <c r="K18" s="34" t="s">
        <v>23</v>
      </c>
      <c r="L18" s="34" t="s">
        <v>23</v>
      </c>
      <c r="M18" s="7">
        <f t="shared" si="1"/>
        <v>6</v>
      </c>
      <c r="N18" s="10" t="b">
        <f t="shared" si="2"/>
        <v>1</v>
      </c>
      <c r="O18" s="7" t="str">
        <f>IF(N18,Key!B18,"")</f>
        <v>Further Reading</v>
      </c>
      <c r="P18" s="7" t="str">
        <f>IF($N18,Key!C18,"")</f>
        <v/>
      </c>
      <c r="Q18" s="7" t="str">
        <f>IF(N18,SUMPRODUCT(--(((E18:L18=Key!B18)+((Key!C18&lt;&gt;"")*(E18:L18=Key!C18)))&gt;0))&amp;" of "&amp;COUNTA(E18:L18),"")</f>
        <v>5 of 6</v>
      </c>
      <c r="R18" s="13" t="str">
        <f>IF(N18,Key!D18&amp;": "&amp;Key!E18,"")</f>
        <v>R-FR: We refer the reader to several survey papers [..T..]': a pointer.</v>
      </c>
      <c r="S18" s="8" t="s">
        <v>254</v>
      </c>
      <c r="T18" s="8" t="s">
        <v>255</v>
      </c>
      <c r="U18" s="8" t="s">
        <v>256</v>
      </c>
      <c r="V18" s="8" t="s">
        <v>257</v>
      </c>
      <c r="W18" s="15">
        <v>4.0</v>
      </c>
    </row>
    <row r="19" ht="369.0" customHeight="1">
      <c r="A19" s="7" t="s">
        <v>101</v>
      </c>
      <c r="B19" s="16" t="s">
        <v>258</v>
      </c>
      <c r="C19" s="16" t="s">
        <v>259</v>
      </c>
      <c r="D19" s="16" t="s">
        <v>260</v>
      </c>
      <c r="E19" s="27" t="s">
        <v>45</v>
      </c>
      <c r="F19" s="27"/>
      <c r="G19" s="27" t="s">
        <v>45</v>
      </c>
      <c r="H19" s="27" t="s">
        <v>53</v>
      </c>
      <c r="I19" s="27" t="s">
        <v>45</v>
      </c>
      <c r="J19" s="27"/>
      <c r="K19" s="27" t="s">
        <v>45</v>
      </c>
      <c r="L19" s="27" t="s">
        <v>45</v>
      </c>
      <c r="M19" s="7">
        <f t="shared" si="1"/>
        <v>6</v>
      </c>
      <c r="N19" s="10" t="b">
        <f t="shared" si="2"/>
        <v>1</v>
      </c>
      <c r="O19" s="7" t="str">
        <f>IF(N19,Key!B19,"")</f>
        <v>Identification of the Originator</v>
      </c>
      <c r="P19" s="7" t="str">
        <f>IF($N19,Key!C19,"")</f>
        <v>Comparison</v>
      </c>
      <c r="Q19" s="7" t="str">
        <f>IF(N19,SUMPRODUCT(--(((E19:L19=Key!B19)+((Key!C19&lt;&gt;"")*(E19:L19=Key!C19)))&gt;0))&amp;" of "&amp;COUNTA(E19:L19),"")</f>
        <v>5 of 6</v>
      </c>
      <c r="R19" s="13" t="str">
        <f>IF(N19,Key!D19&amp;": "&amp;Key!E19,"")</f>
        <v>Originator: The target is credited with proposing a new kind of perturbation and its term (UAP); the contrast with previous methods is secondary.</v>
      </c>
      <c r="S19" s="16" t="s">
        <v>261</v>
      </c>
      <c r="T19" s="16" t="s">
        <v>262</v>
      </c>
      <c r="U19" s="16" t="s">
        <v>263</v>
      </c>
      <c r="V19" s="16" t="s">
        <v>264</v>
      </c>
      <c r="W19" s="19">
        <v>1.0</v>
      </c>
    </row>
    <row r="20" ht="409.5" customHeight="1">
      <c r="A20" s="7" t="s">
        <v>103</v>
      </c>
      <c r="B20" s="8" t="s">
        <v>265</v>
      </c>
      <c r="C20" s="8" t="s">
        <v>266</v>
      </c>
      <c r="D20" s="8" t="s">
        <v>267</v>
      </c>
      <c r="E20" s="27" t="s">
        <v>33</v>
      </c>
      <c r="F20" s="27"/>
      <c r="G20" s="27" t="s">
        <v>45</v>
      </c>
      <c r="H20" s="27" t="s">
        <v>45</v>
      </c>
      <c r="I20" s="27" t="s">
        <v>45</v>
      </c>
      <c r="J20" s="27"/>
      <c r="K20" s="27" t="s">
        <v>45</v>
      </c>
      <c r="L20" s="27" t="s">
        <v>45</v>
      </c>
      <c r="M20" s="7">
        <f t="shared" si="1"/>
        <v>6</v>
      </c>
      <c r="N20" s="10" t="b">
        <f t="shared" si="2"/>
        <v>1</v>
      </c>
      <c r="O20" s="7" t="str">
        <f>IF(N20,Key!B20,"")</f>
        <v>Comparison</v>
      </c>
      <c r="P20" s="7" t="str">
        <f>IF($N20,Key!C20,"")</f>
        <v/>
      </c>
      <c r="Q20" s="7" t="str">
        <f>IF(N20,SUMPRODUCT(--(((E20:L20=Key!B20)+((Key!C20&lt;&gt;"")*(E20:L20=Key!C20)))&gt;0))&amp;" of "&amp;COUNTA(E20:L20),"")</f>
        <v>5 of 6</v>
      </c>
      <c r="R20" s="13" t="str">
        <f>IF(N20,Key!D20&amp;": "&amp;Key!E20,"")</f>
        <v>R-CMP: We compare our DIS5K against 19 other related datasets including … SOC [T]': current work vs target.</v>
      </c>
      <c r="S20" s="8" t="s">
        <v>268</v>
      </c>
      <c r="T20" s="8" t="s">
        <v>269</v>
      </c>
      <c r="U20" s="8" t="s">
        <v>270</v>
      </c>
      <c r="V20" s="8" t="s">
        <v>271</v>
      </c>
      <c r="W20" s="15">
        <v>1.0</v>
      </c>
    </row>
    <row r="21" ht="222.0" customHeight="1">
      <c r="A21" s="7" t="s">
        <v>105</v>
      </c>
      <c r="B21" s="16" t="s">
        <v>272</v>
      </c>
      <c r="C21" s="16" t="s">
        <v>273</v>
      </c>
      <c r="D21" s="16" t="s">
        <v>274</v>
      </c>
      <c r="E21" s="7" t="s">
        <v>53</v>
      </c>
      <c r="F21" s="7"/>
      <c r="G21" s="7" t="s">
        <v>53</v>
      </c>
      <c r="H21" s="7" t="s">
        <v>53</v>
      </c>
      <c r="I21" s="7" t="s">
        <v>30</v>
      </c>
      <c r="J21" s="7" t="s">
        <v>53</v>
      </c>
      <c r="K21" s="7" t="s">
        <v>30</v>
      </c>
      <c r="L21" s="7" t="s">
        <v>45</v>
      </c>
      <c r="M21" s="7">
        <f t="shared" si="1"/>
        <v>7</v>
      </c>
      <c r="N21" s="10" t="b">
        <f t="shared" si="2"/>
        <v>1</v>
      </c>
      <c r="O21" s="7" t="str">
        <f>IF(N21,Key!B21,"")</f>
        <v>Evidence</v>
      </c>
      <c r="P21" s="7" t="str">
        <f>IF($N21,Key!C21,"")</f>
        <v/>
      </c>
      <c r="Q21" s="7" t="str">
        <f>IF(N21,SUMPRODUCT(--(((E21:L21=Key!B21)+((Key!C21&lt;&gt;"")*(E21:L21=Key!C21)))&gt;0))&amp;" of "&amp;COUNTA(E21:L21),"")</f>
        <v>4 of 7</v>
      </c>
      <c r="R21" s="13" t="str">
        <f>IF(N21,Key!D21&amp;": "&amp;Key!E21,"")</f>
        <v>R-EV: It has been shown that … are very weak [T]': the target backs a claim the authors rely on.</v>
      </c>
      <c r="S21" s="16" t="s">
        <v>276</v>
      </c>
      <c r="T21" s="16" t="s">
        <v>277</v>
      </c>
      <c r="U21" s="16" t="s">
        <v>278</v>
      </c>
      <c r="V21" s="16" t="s">
        <v>279</v>
      </c>
      <c r="W21" s="19">
        <v>1.0</v>
      </c>
    </row>
    <row r="22" ht="22.5" customHeight="1">
      <c r="A22" s="7" t="s">
        <v>107</v>
      </c>
      <c r="B22" s="8" t="s">
        <v>280</v>
      </c>
      <c r="C22" s="8" t="s">
        <v>281</v>
      </c>
      <c r="D22" s="8" t="s">
        <v>282</v>
      </c>
      <c r="E22" s="27" t="s">
        <v>30</v>
      </c>
      <c r="F22" s="27"/>
      <c r="G22" s="27" t="s">
        <v>15</v>
      </c>
      <c r="H22" s="27" t="s">
        <v>30</v>
      </c>
      <c r="I22" s="27" t="s">
        <v>33</v>
      </c>
      <c r="J22" s="27" t="s">
        <v>30</v>
      </c>
      <c r="K22" s="27" t="s">
        <v>15</v>
      </c>
      <c r="L22" s="27" t="s">
        <v>12</v>
      </c>
      <c r="M22" s="7">
        <f t="shared" si="1"/>
        <v>7</v>
      </c>
      <c r="N22" s="10" t="b">
        <f t="shared" si="2"/>
        <v>1</v>
      </c>
      <c r="O22" s="7" t="str">
        <f>IF(N22,Key!B22,"")</f>
        <v>Gap</v>
      </c>
      <c r="P22" s="7" t="str">
        <f>IF($N22,Key!C22,"")</f>
        <v/>
      </c>
      <c r="Q22" s="7" t="str">
        <f>IF(N22,SUMPRODUCT(--(((E22:L22=Key!B22)+((Key!C22&lt;&gt;"")*(E22:L22=Key!C22)))&gt;0))&amp;" of "&amp;COUNTA(E22:L22),"")</f>
        <v>3 of 7</v>
      </c>
      <c r="R22" s="13" t="str">
        <f>IF(N22,Key!D22&amp;": "&amp;Key!E22,"")</f>
        <v>R-GAP: CycleGAN [T] … still suffers from large chromatic aberration…': the limitation is stated about the target itself.</v>
      </c>
      <c r="S22" s="8" t="s">
        <v>288</v>
      </c>
      <c r="T22" s="8" t="s">
        <v>291</v>
      </c>
      <c r="U22" s="8" t="s">
        <v>292</v>
      </c>
      <c r="V22" s="8" t="s">
        <v>293</v>
      </c>
      <c r="W22" s="15">
        <v>1.0</v>
      </c>
    </row>
    <row r="23" ht="22.5" customHeight="1">
      <c r="A23" s="7" t="s">
        <v>109</v>
      </c>
      <c r="B23" s="16" t="s">
        <v>294</v>
      </c>
      <c r="C23" s="16" t="s">
        <v>295</v>
      </c>
      <c r="D23" s="16" t="s">
        <v>296</v>
      </c>
      <c r="E23" s="27" t="s">
        <v>8</v>
      </c>
      <c r="F23" s="27"/>
      <c r="G23" s="27" t="s">
        <v>8</v>
      </c>
      <c r="H23" s="27" t="s">
        <v>15</v>
      </c>
      <c r="I23" s="27" t="s">
        <v>33</v>
      </c>
      <c r="J23" s="27" t="s">
        <v>8</v>
      </c>
      <c r="K23" s="27" t="s">
        <v>8</v>
      </c>
      <c r="L23" s="27" t="s">
        <v>8</v>
      </c>
      <c r="M23" s="7">
        <f t="shared" si="1"/>
        <v>7</v>
      </c>
      <c r="N23" s="10" t="b">
        <f t="shared" si="2"/>
        <v>1</v>
      </c>
      <c r="O23" s="7" t="str">
        <f>IF(N23,Key!B23,"")</f>
        <v>Application</v>
      </c>
      <c r="P23" s="7" t="str">
        <f>IF($N23,Key!C23,"")</f>
        <v/>
      </c>
      <c r="Q23" s="7" t="str">
        <f>IF(N23,SUMPRODUCT(--(((E23:L23=Key!B23)+((Key!C23&lt;&gt;"")*(E23:L23=Key!C23)))&gt;0))&amp;" of "&amp;COUNTA(E23:L23),"")</f>
        <v>5 of 7</v>
      </c>
      <c r="R23" s="13" t="str">
        <f>IF(N23,Key!D23&amp;": "&amp;Key!E23,"")</f>
        <v>R-EV: The current work employs the target's shift operation as is.</v>
      </c>
      <c r="S23" s="16" t="s">
        <v>297</v>
      </c>
      <c r="T23" s="16" t="s">
        <v>298</v>
      </c>
      <c r="U23" s="16" t="s">
        <v>299</v>
      </c>
      <c r="V23" s="16" t="s">
        <v>300</v>
      </c>
      <c r="W23" s="19">
        <v>1.0</v>
      </c>
    </row>
    <row r="24" ht="402.0" customHeight="1">
      <c r="A24" s="7" t="s">
        <v>111</v>
      </c>
      <c r="B24" s="8" t="s">
        <v>301</v>
      </c>
      <c r="C24" s="8" t="s">
        <v>302</v>
      </c>
      <c r="D24" s="8" t="s">
        <v>303</v>
      </c>
      <c r="E24" s="27" t="s">
        <v>12</v>
      </c>
      <c r="F24" s="27"/>
      <c r="G24" s="27" t="s">
        <v>12</v>
      </c>
      <c r="H24" s="27" t="s">
        <v>12</v>
      </c>
      <c r="I24" s="27" t="s">
        <v>12</v>
      </c>
      <c r="J24" s="27" t="s">
        <v>69</v>
      </c>
      <c r="K24" s="27" t="s">
        <v>12</v>
      </c>
      <c r="L24" s="27" t="s">
        <v>69</v>
      </c>
      <c r="M24" s="7">
        <f t="shared" si="1"/>
        <v>7</v>
      </c>
      <c r="N24" s="10" t="b">
        <f t="shared" si="2"/>
        <v>1</v>
      </c>
      <c r="O24" s="7" t="str">
        <f>IF(N24,Key!B24,"")</f>
        <v>Basis</v>
      </c>
      <c r="P24" s="7" t="str">
        <f>IF($N24,Key!C24,"")</f>
        <v>Improvement/Modification</v>
      </c>
      <c r="Q24" s="7" t="str">
        <f>IF(N24,SUMPRODUCT(--(((E24:L24=Key!B24)+((Key!C24&lt;&gt;"")*(E24:L24=Key!C24)))&gt;0))&amp;" of "&amp;COUNTA(E24:L24),"")</f>
        <v>5 of 7</v>
      </c>
      <c r="R24" s="13" t="str">
        <f>IF(N24,Key!D24&amp;": "&amp;Key!E24,"")</f>
        <v>R-IM, R-EV: Inspired by [T], we extend the DC-CNN framework': the extended object is DC-CNN, not the target, so the target is the idea's source (Basis); applying stochastic depth to subnetworks can also be read as adapting the target's method.</v>
      </c>
      <c r="S24" s="8" t="s">
        <v>304</v>
      </c>
      <c r="T24" s="8" t="s">
        <v>305</v>
      </c>
      <c r="U24" s="8" t="s">
        <v>306</v>
      </c>
      <c r="V24" s="8" t="s">
        <v>307</v>
      </c>
      <c r="W24" s="15">
        <v>1.0</v>
      </c>
    </row>
    <row r="25" ht="409.5" customHeight="1">
      <c r="A25" s="7" t="s">
        <v>114</v>
      </c>
      <c r="B25" s="16" t="s">
        <v>308</v>
      </c>
      <c r="C25" s="16" t="s">
        <v>309</v>
      </c>
      <c r="D25" s="16" t="s">
        <v>310</v>
      </c>
      <c r="E25" s="27" t="s">
        <v>69</v>
      </c>
      <c r="F25" s="27"/>
      <c r="G25" s="27" t="s">
        <v>69</v>
      </c>
      <c r="H25" s="27" t="s">
        <v>69</v>
      </c>
      <c r="I25" s="27" t="s">
        <v>69</v>
      </c>
      <c r="J25" s="27" t="s">
        <v>69</v>
      </c>
      <c r="K25" s="27" t="s">
        <v>69</v>
      </c>
      <c r="L25" s="27" t="s">
        <v>69</v>
      </c>
      <c r="M25" s="7">
        <f t="shared" si="1"/>
        <v>7</v>
      </c>
      <c r="N25" s="10" t="b">
        <f t="shared" si="2"/>
        <v>1</v>
      </c>
      <c r="O25" s="7" t="str">
        <f>IF(N25,Key!B25,"")</f>
        <v>Identification of the Originator</v>
      </c>
      <c r="P25" s="7" t="str">
        <f>IF($N25,Key!C25,"")</f>
        <v/>
      </c>
      <c r="Q25" s="7" t="str">
        <f>IF(N25,SUMPRODUCT(--(((E25:L25=Key!B25)+((Key!C25&lt;&gt;"")*(E25:L25=Key!C25)))&gt;0))&amp;" of "&amp;COUNTA(E25:L25),"")</f>
        <v>7 of 7</v>
      </c>
      <c r="R25" s="13" t="str">
        <f>IF(N25,Key!D25&amp;": "&amp;Key!E25,"")</f>
        <v>Originator: As pioneers, Liu et al. [T] introduced…': credited as pioneer.</v>
      </c>
      <c r="S25" s="16" t="s">
        <v>311</v>
      </c>
      <c r="T25" s="16" t="s">
        <v>312</v>
      </c>
      <c r="U25" s="16" t="s">
        <v>313</v>
      </c>
      <c r="V25" s="16" t="s">
        <v>314</v>
      </c>
      <c r="W25" s="19">
        <v>1.0</v>
      </c>
    </row>
    <row r="26" ht="111.0" customHeight="1">
      <c r="A26" s="7" t="s">
        <v>116</v>
      </c>
      <c r="B26" s="8" t="s">
        <v>315</v>
      </c>
      <c r="C26" s="8" t="s">
        <v>316</v>
      </c>
      <c r="D26" s="8" t="s">
        <v>317</v>
      </c>
      <c r="E26" s="27" t="s">
        <v>23</v>
      </c>
      <c r="F26" s="27"/>
      <c r="G26" s="27" t="s">
        <v>23</v>
      </c>
      <c r="H26" s="27" t="s">
        <v>23</v>
      </c>
      <c r="I26" s="27" t="s">
        <v>23</v>
      </c>
      <c r="J26" s="27" t="s">
        <v>23</v>
      </c>
      <c r="K26" s="27" t="s">
        <v>23</v>
      </c>
      <c r="L26" s="27" t="s">
        <v>23</v>
      </c>
      <c r="M26" s="7">
        <f t="shared" si="1"/>
        <v>7</v>
      </c>
      <c r="N26" s="10" t="b">
        <f t="shared" si="2"/>
        <v>1</v>
      </c>
      <c r="O26" s="7" t="str">
        <f>IF(N26,Key!B26,"")</f>
        <v>Further Reading</v>
      </c>
      <c r="P26" s="7" t="str">
        <f>IF($N26,Key!C26,"")</f>
        <v/>
      </c>
      <c r="Q26" s="7" t="str">
        <f>IF(N26,SUMPRODUCT(--(((E26:L26=Key!B26)+((Key!C26&lt;&gt;"")*(E26:L26=Key!C26)))&gt;0))&amp;" of "&amp;COUNTA(E26:L26),"")</f>
        <v>7 of 7</v>
      </c>
      <c r="R26" s="13" t="str">
        <f>IF(N26,Key!D26&amp;": "&amp;Key!E26,"")</f>
        <v>R-FR: Please see [C], [T] for more details': a pointer.</v>
      </c>
      <c r="S26" s="8" t="s">
        <v>318</v>
      </c>
      <c r="T26" s="8" t="s">
        <v>319</v>
      </c>
      <c r="U26" s="8" t="s">
        <v>320</v>
      </c>
      <c r="V26" s="8" t="s">
        <v>321</v>
      </c>
      <c r="W26" s="15">
        <v>2.0</v>
      </c>
    </row>
    <row r="27" ht="22.5" customHeight="1">
      <c r="A27" s="7" t="s">
        <v>118</v>
      </c>
      <c r="B27" s="16" t="s">
        <v>322</v>
      </c>
      <c r="C27" s="16" t="s">
        <v>323</v>
      </c>
      <c r="D27" s="16" t="s">
        <v>324</v>
      </c>
      <c r="E27" s="27" t="s">
        <v>53</v>
      </c>
      <c r="F27" s="27"/>
      <c r="G27" s="27" t="s">
        <v>53</v>
      </c>
      <c r="H27" s="27" t="s">
        <v>53</v>
      </c>
      <c r="I27" s="27" t="s">
        <v>53</v>
      </c>
      <c r="J27" s="27" t="s">
        <v>53</v>
      </c>
      <c r="K27" s="27" t="s">
        <v>53</v>
      </c>
      <c r="L27" s="27" t="s">
        <v>12</v>
      </c>
      <c r="M27" s="7">
        <f t="shared" si="1"/>
        <v>7</v>
      </c>
      <c r="N27" s="10" t="b">
        <f t="shared" si="2"/>
        <v>1</v>
      </c>
      <c r="O27" s="7" t="str">
        <f>IF(N27,Key!B27,"")</f>
        <v>Evidence</v>
      </c>
      <c r="P27" s="7" t="str">
        <f>IF($N27,Key!C27,"")</f>
        <v/>
      </c>
      <c r="Q27" s="7" t="str">
        <f>IF(N27,SUMPRODUCT(--(((E27:L27=Key!B27)+((Key!C27&lt;&gt;"")*(E27:L27=Key!C27)))&gt;0))&amp;" of "&amp;COUNTA(E27:L27),"")</f>
        <v>6 of 7</v>
      </c>
      <c r="R27" s="13" t="str">
        <f>IF(N27,Key!D27&amp;": "&amp;Key!E27,"")</f>
        <v>R-EV: Not caused by overfitting as reported in [T]': the target backs the authors' claim.</v>
      </c>
      <c r="S27" s="16" t="s">
        <v>325</v>
      </c>
      <c r="T27" s="16" t="s">
        <v>326</v>
      </c>
      <c r="U27" s="16" t="s">
        <v>327</v>
      </c>
      <c r="V27" s="16" t="s">
        <v>328</v>
      </c>
      <c r="W27" s="19">
        <v>2.0</v>
      </c>
    </row>
    <row r="28" ht="175.5" customHeight="1">
      <c r="A28" s="7" t="s">
        <v>120</v>
      </c>
      <c r="B28" s="8" t="s">
        <v>329</v>
      </c>
      <c r="C28" s="8" t="s">
        <v>330</v>
      </c>
      <c r="D28" s="8" t="s">
        <v>331</v>
      </c>
      <c r="E28" s="27" t="s">
        <v>30</v>
      </c>
      <c r="F28" s="27"/>
      <c r="G28" s="27" t="s">
        <v>53</v>
      </c>
      <c r="H28" s="27" t="s">
        <v>53</v>
      </c>
      <c r="I28" s="27" t="s">
        <v>53</v>
      </c>
      <c r="J28" s="27" t="s">
        <v>53</v>
      </c>
      <c r="K28" s="27" t="s">
        <v>30</v>
      </c>
      <c r="L28" s="27" t="s">
        <v>53</v>
      </c>
      <c r="M28" s="7">
        <f t="shared" si="1"/>
        <v>7</v>
      </c>
      <c r="N28" s="10" t="b">
        <f t="shared" si="2"/>
        <v>1</v>
      </c>
      <c r="O28" s="7" t="str">
        <f>IF(N28,Key!B28,"")</f>
        <v>Evidence</v>
      </c>
      <c r="P28" s="7" t="str">
        <f>IF($N28,Key!C28,"")</f>
        <v/>
      </c>
      <c r="Q28" s="7" t="str">
        <f>IF(N28,SUMPRODUCT(--(((E28:L28=Key!B28)+((Key!C28&lt;&gt;"")*(E28:L28=Key!C28)))&gt;0))&amp;" of "&amp;COUNTA(E28:L28),"")</f>
        <v>5 of 7</v>
      </c>
      <c r="R28" s="13" t="str">
        <f>IF(N28,Key!D28&amp;": "&amp;Key!E28,"")</f>
        <v>R-EV, R-GAP: PatchMatch … has a limited regularization power as shown in [T]': the target is the source that reports another method's limitation, not its holder: Evidence.</v>
      </c>
      <c r="S28" s="8" t="s">
        <v>332</v>
      </c>
      <c r="T28" s="8" t="s">
        <v>333</v>
      </c>
      <c r="U28" s="8" t="s">
        <v>334</v>
      </c>
      <c r="V28" s="8" t="s">
        <v>335</v>
      </c>
      <c r="W28" s="15">
        <v>3.0</v>
      </c>
    </row>
    <row r="29" ht="266.25" customHeight="1">
      <c r="A29" s="7" t="s">
        <v>124</v>
      </c>
      <c r="B29" s="16" t="s">
        <v>336</v>
      </c>
      <c r="C29" s="16" t="s">
        <v>337</v>
      </c>
      <c r="D29" s="16" t="s">
        <v>338</v>
      </c>
      <c r="E29" s="21" t="s">
        <v>15</v>
      </c>
      <c r="F29" s="21"/>
      <c r="G29" s="21" t="s">
        <v>15</v>
      </c>
      <c r="H29" s="21" t="s">
        <v>15</v>
      </c>
      <c r="I29" s="21" t="s">
        <v>15</v>
      </c>
      <c r="J29" s="21" t="s">
        <v>15</v>
      </c>
      <c r="K29" s="21" t="s">
        <v>15</v>
      </c>
      <c r="L29" s="21" t="s">
        <v>15</v>
      </c>
      <c r="M29" s="7">
        <f t="shared" si="1"/>
        <v>7</v>
      </c>
      <c r="N29" s="10" t="b">
        <f t="shared" si="2"/>
        <v>1</v>
      </c>
      <c r="O29" s="7" t="str">
        <f>IF(N29,Key!B29,"")</f>
        <v>Improvement/Modification</v>
      </c>
      <c r="P29" s="7" t="str">
        <f>IF($N29,Key!C29,"")</f>
        <v/>
      </c>
      <c r="Q29" s="7" t="str">
        <f>IF(N29,SUMPRODUCT(--(((E29:L29=Key!B29)+((Key!C29&lt;&gt;"")*(E29:L29=Key!C29)))&gt;0))&amp;" of "&amp;COUNTA(E29:L29),"")</f>
        <v>7 of 7</v>
      </c>
      <c r="R29" s="13" t="str">
        <f>IF(N29,Key!D29&amp;": "&amp;Key!E29,"")</f>
        <v>R-IM: We adapt the representation from [T]': the authors adapt the target's method.</v>
      </c>
      <c r="S29" s="16" t="s">
        <v>339</v>
      </c>
      <c r="T29" s="16" t="s">
        <v>340</v>
      </c>
      <c r="U29" s="16" t="s">
        <v>341</v>
      </c>
      <c r="V29" s="16" t="s">
        <v>342</v>
      </c>
      <c r="W29" s="19">
        <v>1.0</v>
      </c>
    </row>
    <row r="30" ht="409.5" customHeight="1">
      <c r="A30" s="7" t="s">
        <v>126</v>
      </c>
      <c r="B30" s="8" t="s">
        <v>343</v>
      </c>
      <c r="C30" s="8" t="s">
        <v>344</v>
      </c>
      <c r="D30" s="8" t="s">
        <v>345</v>
      </c>
      <c r="E30" s="27" t="s">
        <v>33</v>
      </c>
      <c r="F30" s="27"/>
      <c r="G30" s="27" t="s">
        <v>45</v>
      </c>
      <c r="H30" s="27" t="s">
        <v>33</v>
      </c>
      <c r="I30" s="27" t="s">
        <v>33</v>
      </c>
      <c r="J30" s="27" t="s">
        <v>33</v>
      </c>
      <c r="K30" s="27" t="s">
        <v>30</v>
      </c>
      <c r="L30" s="27" t="s">
        <v>8</v>
      </c>
      <c r="M30" s="7">
        <f t="shared" si="1"/>
        <v>7</v>
      </c>
      <c r="N30" s="10" t="b">
        <f t="shared" si="2"/>
        <v>1</v>
      </c>
      <c r="O30" s="7" t="str">
        <f>IF(N30,Key!B30,"")</f>
        <v>Background</v>
      </c>
      <c r="P30" s="7" t="str">
        <f>IF($N30,Key!C30,"")</f>
        <v/>
      </c>
      <c r="Q30" s="7" t="str">
        <f>IF(N30,SUMPRODUCT(--(((E30:L30=Key!B30)+((Key!C30&lt;&gt;"")*(E30:L30=Key!C30)))&gt;0))&amp;" of "&amp;COUNTA(E30:L30),"")</f>
        <v>4 of 7</v>
      </c>
      <c r="R30" s="13" t="str">
        <f>IF(N30,Key!D30&amp;": "&amp;Key!E30,"")</f>
        <v>R-EV: The target is one of many works naming the research area (UDA for segmentation): Background.</v>
      </c>
      <c r="S30" s="8" t="s">
        <v>346</v>
      </c>
      <c r="T30" s="8" t="s">
        <v>347</v>
      </c>
      <c r="U30" s="8" t="s">
        <v>348</v>
      </c>
      <c r="V30" s="8" t="s">
        <v>349</v>
      </c>
      <c r="W30" s="15">
        <v>12.0</v>
      </c>
    </row>
    <row r="31" ht="22.5" customHeight="1">
      <c r="A31" s="7" t="s">
        <v>128</v>
      </c>
      <c r="B31" s="37" t="s">
        <v>350</v>
      </c>
      <c r="C31" s="37" t="s">
        <v>351</v>
      </c>
      <c r="D31" s="37" t="s">
        <v>352</v>
      </c>
      <c r="E31" s="27" t="s">
        <v>33</v>
      </c>
      <c r="F31" s="27"/>
      <c r="G31" s="27" t="s">
        <v>30</v>
      </c>
      <c r="H31" s="27" t="s">
        <v>45</v>
      </c>
      <c r="I31" s="27" t="s">
        <v>30</v>
      </c>
      <c r="J31" s="27" t="s">
        <v>30</v>
      </c>
      <c r="K31" s="27" t="s">
        <v>33</v>
      </c>
      <c r="L31" s="27" t="s">
        <v>33</v>
      </c>
      <c r="M31" s="7">
        <f t="shared" si="1"/>
        <v>7</v>
      </c>
      <c r="N31" s="10" t="b">
        <f t="shared" si="2"/>
        <v>1</v>
      </c>
      <c r="O31" s="7" t="str">
        <f>IF(N31,Key!B31,"")</f>
        <v>Gap</v>
      </c>
      <c r="P31" s="7" t="str">
        <f>IF($N31,Key!C31,"")</f>
        <v>Background</v>
      </c>
      <c r="Q31" s="7" t="str">
        <f>IF(N31,SUMPRODUCT(--(((E31:L31=Key!B31)+((Key!C31&lt;&gt;"")*(E31:L31=Key!C31)))&gt;0))&amp;" of "&amp;COUNTA(E31:L31),"")</f>
        <v>6 of 7</v>
      </c>
      <c r="R31" s="13" t="str">
        <f>IF(N31,Key!D31&amp;": "&amp;Key!E31,"")</f>
        <v>R-GAP: The limitation ('cannot apply to our … task') is stated about the UDA methods the target is listed among (holder): Gap.</v>
      </c>
      <c r="S31" s="37" t="s">
        <v>353</v>
      </c>
      <c r="T31" s="37" t="s">
        <v>354</v>
      </c>
      <c r="U31" s="37" t="s">
        <v>355</v>
      </c>
      <c r="V31" s="37" t="s">
        <v>356</v>
      </c>
      <c r="W31" s="38">
        <v>1.0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2:L31">
      <formula1>"Background,Gap,Basis,Comparison,Application,Improvement/Modification,Evidence,Identification of the Originator,Further Reading,Unclear"</formula1>
    </dataValidation>
    <dataValidation type="custom" allowBlank="1" showDropDown="1" sqref="M2:M31">
      <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80.13"/>
    <col customWidth="1" min="3" max="6" width="12.63"/>
  </cols>
  <sheetData>
    <row r="1" ht="15.75" customHeight="1">
      <c r="A1" s="3" t="s">
        <v>1</v>
      </c>
      <c r="B1" s="5"/>
    </row>
    <row r="2" ht="15.75" customHeight="1">
      <c r="A2" s="6" t="s">
        <v>33</v>
      </c>
      <c r="B2" s="5" t="s">
        <v>44</v>
      </c>
    </row>
    <row r="3" ht="15.75" customHeight="1">
      <c r="A3" s="6" t="s">
        <v>30</v>
      </c>
      <c r="B3" s="5" t="s">
        <v>54</v>
      </c>
    </row>
    <row r="4" ht="15.75" customHeight="1">
      <c r="A4" s="6" t="s">
        <v>12</v>
      </c>
      <c r="B4" s="5" t="s">
        <v>57</v>
      </c>
    </row>
    <row r="5" ht="15.75" customHeight="1">
      <c r="A5" s="6" t="s">
        <v>45</v>
      </c>
      <c r="B5" s="5" t="s">
        <v>58</v>
      </c>
    </row>
    <row r="6" ht="15.75" customHeight="1">
      <c r="A6" s="6" t="s">
        <v>8</v>
      </c>
      <c r="B6" s="5" t="s">
        <v>62</v>
      </c>
    </row>
    <row r="7" ht="15.75" customHeight="1">
      <c r="A7" s="6" t="s">
        <v>15</v>
      </c>
      <c r="B7" s="5" t="s">
        <v>63</v>
      </c>
    </row>
    <row r="8" ht="15.75" customHeight="1">
      <c r="A8" s="6" t="s">
        <v>53</v>
      </c>
      <c r="B8" s="5" t="s">
        <v>67</v>
      </c>
    </row>
    <row r="9" ht="15.75" customHeight="1">
      <c r="A9" s="6" t="s">
        <v>69</v>
      </c>
      <c r="B9" s="5" t="s">
        <v>70</v>
      </c>
    </row>
    <row r="10" ht="15.75" customHeight="1">
      <c r="A10" s="6" t="s">
        <v>23</v>
      </c>
      <c r="B10" s="5" t="s">
        <v>73</v>
      </c>
    </row>
    <row r="11" ht="15.75" customHeight="1">
      <c r="A11" s="6" t="s">
        <v>74</v>
      </c>
      <c r="B11" s="5" t="s">
        <v>75</v>
      </c>
    </row>
    <row r="12" ht="15.75" customHeight="1">
      <c r="A12" s="6"/>
      <c r="B12" s="5"/>
    </row>
    <row r="13" ht="15.75" customHeight="1">
      <c r="A13" s="3" t="s">
        <v>78</v>
      </c>
      <c r="B13" s="5"/>
    </row>
    <row r="14" ht="15.75" customHeight="1">
      <c r="A14" s="6" t="s">
        <v>79</v>
      </c>
      <c r="B14" s="5" t="s">
        <v>81</v>
      </c>
    </row>
    <row r="15" ht="15.75" customHeight="1">
      <c r="A15" s="6" t="s">
        <v>9</v>
      </c>
      <c r="B15" s="5" t="s">
        <v>84</v>
      </c>
    </row>
    <row r="16" ht="15.75" customHeight="1">
      <c r="A16" s="6" t="s">
        <v>32</v>
      </c>
      <c r="B16" s="5" t="s">
        <v>87</v>
      </c>
    </row>
    <row r="17" ht="15.75" customHeight="1">
      <c r="A17" s="6" t="s">
        <v>39</v>
      </c>
      <c r="B17" s="5" t="s">
        <v>89</v>
      </c>
    </row>
    <row r="18" ht="15.75" customHeight="1">
      <c r="A18" s="6" t="s">
        <v>47</v>
      </c>
      <c r="B18" s="5" t="s">
        <v>91</v>
      </c>
    </row>
    <row r="19" ht="15.75" customHeight="1">
      <c r="A19" s="6" t="s">
        <v>25</v>
      </c>
      <c r="B19" s="5" t="s">
        <v>93</v>
      </c>
    </row>
    <row r="20" ht="15.75" customHeight="1">
      <c r="A20" s="6" t="s">
        <v>12</v>
      </c>
      <c r="B20" s="5" t="s">
        <v>95</v>
      </c>
    </row>
    <row r="21" ht="15.75" customHeight="1">
      <c r="A21" s="6" t="s">
        <v>97</v>
      </c>
      <c r="B21" s="5" t="s">
        <v>98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2" t="s">
        <v>0</v>
      </c>
      <c r="B1" s="2" t="s">
        <v>2</v>
      </c>
      <c r="C1" s="2" t="s">
        <v>4</v>
      </c>
      <c r="D1" s="2" t="s">
        <v>5</v>
      </c>
      <c r="E1" s="2" t="s">
        <v>6</v>
      </c>
    </row>
    <row r="2" ht="15.75" customHeight="1">
      <c r="A2" s="2" t="s">
        <v>7</v>
      </c>
      <c r="B2" s="2" t="s">
        <v>8</v>
      </c>
      <c r="D2" s="2" t="s">
        <v>9</v>
      </c>
      <c r="E2" s="2" t="s">
        <v>10</v>
      </c>
    </row>
    <row r="3" ht="15.75" customHeight="1">
      <c r="A3" s="2" t="s">
        <v>11</v>
      </c>
      <c r="B3" s="2" t="s">
        <v>12</v>
      </c>
      <c r="C3" s="2" t="s">
        <v>15</v>
      </c>
      <c r="D3" s="2" t="s">
        <v>16</v>
      </c>
      <c r="E3" s="2" t="s">
        <v>19</v>
      </c>
    </row>
    <row r="4" ht="15.75" customHeight="1">
      <c r="A4" s="2" t="s">
        <v>21</v>
      </c>
      <c r="B4" s="2" t="s">
        <v>23</v>
      </c>
      <c r="D4" s="2" t="s">
        <v>25</v>
      </c>
      <c r="E4" s="2" t="s">
        <v>27</v>
      </c>
    </row>
    <row r="5" ht="15.75" customHeight="1">
      <c r="A5" s="2" t="s">
        <v>29</v>
      </c>
      <c r="B5" s="2" t="s">
        <v>30</v>
      </c>
      <c r="D5" s="2" t="s">
        <v>32</v>
      </c>
      <c r="E5" s="2" t="s">
        <v>34</v>
      </c>
    </row>
    <row r="6" ht="15.75" customHeight="1">
      <c r="A6" s="2" t="s">
        <v>36</v>
      </c>
      <c r="B6" s="2" t="s">
        <v>15</v>
      </c>
      <c r="C6" s="2" t="s">
        <v>12</v>
      </c>
      <c r="D6" s="2" t="s">
        <v>39</v>
      </c>
      <c r="E6" s="2" t="s">
        <v>40</v>
      </c>
    </row>
    <row r="7" ht="15.75" customHeight="1">
      <c r="A7" s="2" t="s">
        <v>42</v>
      </c>
      <c r="B7" s="2" t="s">
        <v>45</v>
      </c>
      <c r="D7" s="2" t="s">
        <v>47</v>
      </c>
      <c r="E7" s="2" t="s">
        <v>49</v>
      </c>
    </row>
    <row r="8" ht="15.75" customHeight="1">
      <c r="A8" s="2" t="s">
        <v>51</v>
      </c>
      <c r="B8" s="2" t="s">
        <v>53</v>
      </c>
      <c r="D8" s="2" t="s">
        <v>9</v>
      </c>
      <c r="E8" s="2" t="s">
        <v>55</v>
      </c>
    </row>
    <row r="9" ht="15.75" customHeight="1">
      <c r="A9" s="2" t="s">
        <v>56</v>
      </c>
      <c r="B9" s="2" t="s">
        <v>45</v>
      </c>
      <c r="C9" s="2" t="s">
        <v>33</v>
      </c>
      <c r="D9" s="2" t="s">
        <v>47</v>
      </c>
      <c r="E9" s="2" t="s">
        <v>60</v>
      </c>
    </row>
    <row r="10" ht="15.75" customHeight="1">
      <c r="A10" s="2" t="s">
        <v>61</v>
      </c>
      <c r="B10" s="2" t="s">
        <v>8</v>
      </c>
      <c r="C10" s="2" t="s">
        <v>12</v>
      </c>
      <c r="D10" s="2" t="s">
        <v>9</v>
      </c>
      <c r="E10" s="2" t="s">
        <v>64</v>
      </c>
    </row>
    <row r="11" ht="15.75" customHeight="1">
      <c r="A11" s="2" t="s">
        <v>66</v>
      </c>
      <c r="B11" s="2" t="s">
        <v>53</v>
      </c>
      <c r="C11" s="2" t="s">
        <v>30</v>
      </c>
      <c r="D11" s="2" t="s">
        <v>32</v>
      </c>
      <c r="E11" s="2" t="s">
        <v>71</v>
      </c>
    </row>
    <row r="12" ht="15.75" customHeight="1">
      <c r="A12" s="2" t="s">
        <v>72</v>
      </c>
      <c r="B12" s="2" t="s">
        <v>15</v>
      </c>
      <c r="D12" s="2" t="s">
        <v>39</v>
      </c>
      <c r="E12" s="2" t="s">
        <v>76</v>
      </c>
    </row>
    <row r="13" ht="15.75" customHeight="1">
      <c r="A13" s="2" t="s">
        <v>77</v>
      </c>
      <c r="B13" s="2" t="s">
        <v>33</v>
      </c>
      <c r="C13" s="2" t="s">
        <v>30</v>
      </c>
      <c r="D13" s="2" t="s">
        <v>32</v>
      </c>
      <c r="E13" s="2" t="s">
        <v>80</v>
      </c>
    </row>
    <row r="14" ht="15.75" customHeight="1">
      <c r="A14" s="2" t="s">
        <v>82</v>
      </c>
      <c r="B14" s="2" t="s">
        <v>69</v>
      </c>
      <c r="D14" s="2" t="s">
        <v>83</v>
      </c>
      <c r="E14" s="2" t="s">
        <v>85</v>
      </c>
    </row>
    <row r="15" ht="15.75" customHeight="1">
      <c r="A15" s="2" t="s">
        <v>86</v>
      </c>
      <c r="B15" s="2" t="s">
        <v>12</v>
      </c>
      <c r="C15" s="2" t="s">
        <v>53</v>
      </c>
      <c r="D15" s="2" t="s">
        <v>9</v>
      </c>
      <c r="E15" s="2" t="s">
        <v>88</v>
      </c>
    </row>
    <row r="16" ht="15.75" customHeight="1">
      <c r="A16" s="2" t="s">
        <v>90</v>
      </c>
      <c r="B16" s="2" t="s">
        <v>8</v>
      </c>
      <c r="C16" s="2" t="s">
        <v>45</v>
      </c>
      <c r="D16" s="2" t="s">
        <v>9</v>
      </c>
      <c r="E16" s="2" t="s">
        <v>92</v>
      </c>
    </row>
    <row r="17" ht="15.75" customHeight="1">
      <c r="A17" s="2" t="s">
        <v>94</v>
      </c>
      <c r="B17" s="2" t="s">
        <v>33</v>
      </c>
      <c r="D17" s="2" t="s">
        <v>47</v>
      </c>
      <c r="E17" s="2" t="s">
        <v>96</v>
      </c>
    </row>
    <row r="18" ht="15.75" customHeight="1">
      <c r="A18" s="2" t="s">
        <v>99</v>
      </c>
      <c r="B18" s="2" t="s">
        <v>23</v>
      </c>
      <c r="D18" s="2" t="s">
        <v>25</v>
      </c>
      <c r="E18" s="2" t="s">
        <v>100</v>
      </c>
    </row>
    <row r="19" ht="15.75" customHeight="1">
      <c r="A19" s="2" t="s">
        <v>101</v>
      </c>
      <c r="B19" s="2" t="s">
        <v>69</v>
      </c>
      <c r="C19" s="2" t="s">
        <v>45</v>
      </c>
      <c r="D19" s="2" t="s">
        <v>83</v>
      </c>
      <c r="E19" s="2" t="s">
        <v>102</v>
      </c>
    </row>
    <row r="20" ht="15.75" customHeight="1">
      <c r="A20" s="2" t="s">
        <v>103</v>
      </c>
      <c r="B20" s="2" t="s">
        <v>45</v>
      </c>
      <c r="D20" s="2" t="s">
        <v>47</v>
      </c>
      <c r="E20" s="2" t="s">
        <v>104</v>
      </c>
    </row>
    <row r="21" ht="15.75" customHeight="1">
      <c r="A21" s="2" t="s">
        <v>105</v>
      </c>
      <c r="B21" s="2" t="s">
        <v>53</v>
      </c>
      <c r="D21" s="2" t="s">
        <v>9</v>
      </c>
      <c r="E21" s="2" t="s">
        <v>106</v>
      </c>
    </row>
    <row r="22" ht="15.75" customHeight="1">
      <c r="A22" s="2" t="s">
        <v>107</v>
      </c>
      <c r="B22" s="2" t="s">
        <v>30</v>
      </c>
      <c r="D22" s="2" t="s">
        <v>32</v>
      </c>
      <c r="E22" s="2" t="s">
        <v>108</v>
      </c>
    </row>
    <row r="23" ht="15.75" customHeight="1">
      <c r="A23" s="2" t="s">
        <v>109</v>
      </c>
      <c r="B23" s="2" t="s">
        <v>8</v>
      </c>
      <c r="D23" s="2" t="s">
        <v>9</v>
      </c>
      <c r="E23" s="2" t="s">
        <v>110</v>
      </c>
    </row>
    <row r="24" ht="15.75" customHeight="1">
      <c r="A24" s="2" t="s">
        <v>111</v>
      </c>
      <c r="B24" s="2" t="s">
        <v>12</v>
      </c>
      <c r="C24" s="2" t="s">
        <v>15</v>
      </c>
      <c r="D24" s="2" t="s">
        <v>112</v>
      </c>
      <c r="E24" s="2" t="s">
        <v>113</v>
      </c>
    </row>
    <row r="25" ht="15.75" customHeight="1">
      <c r="A25" s="2" t="s">
        <v>114</v>
      </c>
      <c r="B25" s="2" t="s">
        <v>69</v>
      </c>
      <c r="D25" s="2" t="s">
        <v>83</v>
      </c>
      <c r="E25" s="2" t="s">
        <v>115</v>
      </c>
    </row>
    <row r="26" ht="15.75" customHeight="1">
      <c r="A26" s="2" t="s">
        <v>116</v>
      </c>
      <c r="B26" s="2" t="s">
        <v>23</v>
      </c>
      <c r="D26" s="2" t="s">
        <v>25</v>
      </c>
      <c r="E26" s="2" t="s">
        <v>117</v>
      </c>
    </row>
    <row r="27" ht="15.75" customHeight="1">
      <c r="A27" s="2" t="s">
        <v>118</v>
      </c>
      <c r="B27" s="2" t="s">
        <v>53</v>
      </c>
      <c r="D27" s="2" t="s">
        <v>9</v>
      </c>
      <c r="E27" s="2" t="s">
        <v>119</v>
      </c>
    </row>
    <row r="28" ht="15.75" customHeight="1">
      <c r="A28" s="2" t="s">
        <v>120</v>
      </c>
      <c r="B28" s="2" t="s">
        <v>53</v>
      </c>
      <c r="D28" s="2" t="s">
        <v>122</v>
      </c>
      <c r="E28" s="2" t="s">
        <v>123</v>
      </c>
    </row>
    <row r="29" ht="15.75" customHeight="1">
      <c r="A29" s="2" t="s">
        <v>124</v>
      </c>
      <c r="B29" s="2" t="s">
        <v>15</v>
      </c>
      <c r="D29" s="2" t="s">
        <v>39</v>
      </c>
      <c r="E29" s="2" t="s">
        <v>125</v>
      </c>
    </row>
    <row r="30" ht="15.75" customHeight="1">
      <c r="A30" s="2" t="s">
        <v>126</v>
      </c>
      <c r="B30" s="2" t="s">
        <v>33</v>
      </c>
      <c r="D30" s="2" t="s">
        <v>9</v>
      </c>
      <c r="E30" s="2" t="s">
        <v>127</v>
      </c>
    </row>
    <row r="31" ht="15.75" customHeight="1">
      <c r="A31" s="2" t="s">
        <v>128</v>
      </c>
      <c r="B31" s="2" t="s">
        <v>30</v>
      </c>
      <c r="C31" s="2" t="s">
        <v>33</v>
      </c>
      <c r="D31" s="2" t="s">
        <v>32</v>
      </c>
      <c r="E31" s="2" t="s">
        <v>129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5.25"/>
    <col customWidth="1" min="3" max="3" width="18.38"/>
    <col customWidth="1" min="4" max="4" width="14.25"/>
    <col customWidth="1" min="5" max="6" width="12.63"/>
  </cols>
  <sheetData>
    <row r="1" ht="32.25" customHeight="1">
      <c r="A1" s="11" t="s">
        <v>121</v>
      </c>
      <c r="B1" s="11" t="s">
        <v>130</v>
      </c>
      <c r="C1" s="11" t="s">
        <v>131</v>
      </c>
      <c r="D1" s="11" t="s">
        <v>132</v>
      </c>
      <c r="E1" s="12"/>
      <c r="F1" s="12"/>
      <c r="G1" s="12"/>
      <c r="H1" s="12"/>
      <c r="I1" s="12"/>
      <c r="J1" s="12"/>
      <c r="K1" s="12"/>
      <c r="L1" s="12"/>
      <c r="M1" s="12"/>
      <c r="N1" s="12"/>
      <c r="O1" s="12"/>
      <c r="P1" s="12"/>
      <c r="Q1" s="12"/>
      <c r="R1" s="12"/>
      <c r="S1" s="12"/>
      <c r="T1" s="12"/>
      <c r="U1" s="12"/>
      <c r="V1" s="12"/>
      <c r="W1" s="12"/>
      <c r="X1" s="12"/>
      <c r="Y1" s="12"/>
      <c r="Z1" s="12"/>
    </row>
    <row r="2" ht="22.5" customHeight="1">
      <c r="A2" s="14" t="str">
        <f>Votes!E1</f>
        <v>1_ABC</v>
      </c>
      <c r="B2" s="17">
        <f>SUMPRODUCT((Votes!E2:E31&lt;&gt;"")*(Votes!N2:N31=TRUE()))</f>
        <v>30</v>
      </c>
      <c r="C2" s="17">
        <f>SUMPRODUCT((Votes!N2:N31=TRUE())*(((Votes!E2:E31=Key!B2:B31)+((Key!C2:C31&lt;&gt;"")*(Votes!E2:E31=Key!C2:C31)))&gt;0))</f>
        <v>23</v>
      </c>
      <c r="D2" s="18">
        <f t="shared" ref="D2:D9" si="1">IF(B2=0,"",C2/B2)</f>
        <v>0.7666666667</v>
      </c>
    </row>
    <row r="3" ht="22.5" customHeight="1">
      <c r="A3" s="14" t="str">
        <f>Votes!F1</f>
        <v>2_CEBC</v>
      </c>
      <c r="B3" s="17">
        <f>SUMPRODUCT((Votes!F2:F31&lt;&gt;"")*(Votes!N2:N31=TRUE()))</f>
        <v>0</v>
      </c>
      <c r="C3" s="17">
        <f>SUMPRODUCT((Votes!N2:N31=TRUE())*(((Votes!F2:F31=Key!B2:B31)+((Key!C2:C31&lt;&gt;"")*(Votes!F2:F31=Key!C2:C31)))&gt;0))</f>
        <v>0</v>
      </c>
      <c r="D3" s="18" t="str">
        <f t="shared" si="1"/>
        <v/>
      </c>
    </row>
    <row r="4" ht="22.5" customHeight="1">
      <c r="A4" s="14" t="str">
        <f>Votes!G1</f>
        <v>3_FL</v>
      </c>
      <c r="B4" s="17">
        <f>SUMPRODUCT((Votes!G2:G31&lt;&gt;"")*(Votes!N2:N31=TRUE()))</f>
        <v>30</v>
      </c>
      <c r="C4" s="17">
        <f>SUMPRODUCT((Votes!N2:N31=TRUE())*(((Votes!G2:G31=Key!B2:B31)+((Key!C2:C31&lt;&gt;"")*(Votes!G2:G31=Key!C2:C31)))&gt;0))</f>
        <v>26</v>
      </c>
      <c r="D4" s="18">
        <f t="shared" si="1"/>
        <v>0.8666666667</v>
      </c>
    </row>
    <row r="5" ht="22.5" customHeight="1">
      <c r="A5" s="14" t="str">
        <f>Votes!H1</f>
        <v>4_GR</v>
      </c>
      <c r="B5" s="17">
        <f>SUMPRODUCT((Votes!H2:H31&lt;&gt;"")*(Votes!N2:N31=TRUE()))</f>
        <v>30</v>
      </c>
      <c r="C5" s="17">
        <f>SUMPRODUCT((Votes!N2:N31=TRUE())*(((Votes!H2:H31=Key!B2:B31)+((Key!C2:C31&lt;&gt;"")*(Votes!H2:H31=Key!C2:C31)))&gt;0))</f>
        <v>23</v>
      </c>
      <c r="D5" s="18">
        <f t="shared" si="1"/>
        <v>0.7666666667</v>
      </c>
    </row>
    <row r="6" ht="22.5" customHeight="1">
      <c r="A6" s="14" t="str">
        <f>Votes!I1</f>
        <v>5_JA</v>
      </c>
      <c r="B6" s="17">
        <f>SUMPRODUCT((Votes!I2:I31&lt;&gt;"")*(Votes!N2:N31=TRUE()))</f>
        <v>30</v>
      </c>
      <c r="C6" s="17">
        <f>SUMPRODUCT((Votes!N2:N31=TRUE())*(((Votes!I2:I31=Key!B2:B31)+((Key!C2:C31&lt;&gt;"")*(Votes!I2:I31=Key!C2:C31)))&gt;0))</f>
        <v>18</v>
      </c>
      <c r="D6" s="18">
        <f t="shared" si="1"/>
        <v>0.6</v>
      </c>
    </row>
    <row r="7" ht="22.5" customHeight="1">
      <c r="A7" s="14" t="str">
        <f>Votes!J1</f>
        <v>6_JGAC</v>
      </c>
      <c r="B7" s="17">
        <f>SUMPRODUCT((Votes!J2:J31&lt;&gt;"")*(Votes!N2:N31=TRUE()))</f>
        <v>27</v>
      </c>
      <c r="C7" s="17">
        <f>SUMPRODUCT((Votes!N2:N31=TRUE())*(((Votes!J2:J31=Key!B2:B31)+((Key!C2:C31&lt;&gt;"")*(Votes!J2:J31=Key!C2:C31)))&gt;0))</f>
        <v>26</v>
      </c>
      <c r="D7" s="18">
        <f t="shared" si="1"/>
        <v>0.962962963</v>
      </c>
    </row>
    <row r="8" ht="22.5" customHeight="1">
      <c r="A8" s="14" t="str">
        <f>Votes!K1</f>
        <v>7_RAB</v>
      </c>
      <c r="B8" s="17">
        <f>SUMPRODUCT((Votes!K2:K31&lt;&gt;"")*(Votes!N2:N31=TRUE()))</f>
        <v>30</v>
      </c>
      <c r="C8" s="17">
        <f>SUMPRODUCT((Votes!N2:N31=TRUE())*(((Votes!K2:K31=Key!B2:B31)+((Key!C2:C31&lt;&gt;"")*(Votes!K2:K31=Key!C2:C31)))&gt;0))</f>
        <v>20</v>
      </c>
      <c r="D8" s="18">
        <f t="shared" si="1"/>
        <v>0.6666666667</v>
      </c>
    </row>
    <row r="9" ht="22.5" customHeight="1">
      <c r="A9" s="14" t="str">
        <f>Votes!L1</f>
        <v>8_ST</v>
      </c>
      <c r="B9" s="17">
        <f>SUMPRODUCT((Votes!L2:L31&lt;&gt;"")*(Votes!N2:N31=TRUE()))</f>
        <v>30</v>
      </c>
      <c r="C9" s="17">
        <f>SUMPRODUCT((Votes!N2:N31=TRUE())*(((Votes!L2:L31=Key!B2:B31)+((Key!C2:C31&lt;&gt;"")*(Votes!L2:L31=Key!C2:C31)))&gt;0))</f>
        <v>18</v>
      </c>
      <c r="D9" s="18">
        <f t="shared" si="1"/>
        <v>0.6</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2:C9">
      <formula1>AND(ISNUMBER(B2),(NOT(OR(NOT(ISERROR(DATEVALUE(B2))), AND(ISNUMBER(B2), LEFT(CELL("format", B2))="D")))))</formula1>
    </dataValidation>
  </dataValidations>
  <printOptions/>
  <pageMargins bottom="0.75" footer="0.0" header="0.0" left="0.7" right="0.7" top="0.75"/>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34.0"/>
    <col customWidth="1" min="2" max="25" width="13.0"/>
    <col customWidth="1" min="26" max="26" width="8.63"/>
  </cols>
  <sheetData>
    <row r="1">
      <c r="A1" s="20" t="s">
        <v>150</v>
      </c>
    </row>
    <row r="3">
      <c r="A3" s="22" t="s">
        <v>155</v>
      </c>
      <c r="B3" s="22" t="str">
        <f>Votes!E1</f>
        <v>1_ABC</v>
      </c>
      <c r="C3" s="22" t="str">
        <f>Votes!F1</f>
        <v>2_CEBC</v>
      </c>
      <c r="D3" s="22" t="str">
        <f>Votes!G1</f>
        <v>3_FL</v>
      </c>
      <c r="E3" s="22" t="str">
        <f>Votes!H1</f>
        <v>4_GR</v>
      </c>
      <c r="F3" s="22" t="str">
        <f>Votes!I1</f>
        <v>5_JA</v>
      </c>
      <c r="G3" s="22" t="str">
        <f>Votes!J1</f>
        <v>6_JGAC</v>
      </c>
      <c r="H3" s="22" t="str">
        <f>Votes!K1</f>
        <v>7_RAB</v>
      </c>
      <c r="I3" s="22" t="str">
        <f>Votes!L1</f>
        <v>8_ST</v>
      </c>
    </row>
    <row r="4">
      <c r="A4" s="2" t="s">
        <v>163</v>
      </c>
      <c r="B4" s="24">
        <v>1.0</v>
      </c>
      <c r="C4" s="24">
        <v>0.0</v>
      </c>
      <c r="D4" s="24">
        <v>1.0</v>
      </c>
      <c r="E4" s="24">
        <v>1.0</v>
      </c>
      <c r="F4" s="24">
        <v>1.0</v>
      </c>
      <c r="G4" s="24">
        <v>1.0</v>
      </c>
      <c r="H4" s="24">
        <v>1.0</v>
      </c>
      <c r="I4" s="24">
        <v>1.0</v>
      </c>
    </row>
    <row r="5">
      <c r="A5" s="25" t="s">
        <v>164</v>
      </c>
    </row>
    <row r="7">
      <c r="A7" s="20" t="s">
        <v>165</v>
      </c>
    </row>
    <row r="8">
      <c r="A8" s="26" t="s">
        <v>121</v>
      </c>
      <c r="B8" s="26" t="s">
        <v>35</v>
      </c>
      <c r="C8" s="26" t="s">
        <v>166</v>
      </c>
      <c r="D8" s="26" t="s">
        <v>167</v>
      </c>
      <c r="E8" s="26" t="s">
        <v>168</v>
      </c>
      <c r="F8" s="26" t="s">
        <v>169</v>
      </c>
      <c r="G8" s="26" t="s">
        <v>170</v>
      </c>
      <c r="H8" s="26" t="s">
        <v>171</v>
      </c>
    </row>
    <row r="9">
      <c r="A9" s="2" t="str">
        <f>Votes!E1</f>
        <v>1_ABC</v>
      </c>
      <c r="B9" s="2">
        <f>COUNTIF(Votes!$E$2:$E$31,"?*")</f>
        <v>30</v>
      </c>
      <c r="C9" s="2">
        <f>SUMPRODUCT((Votes!$E$2:$E$31&lt;&gt;"")*(Votes!$E$2:$E$31=Key!$B$2:$B$31))</f>
        <v>19</v>
      </c>
      <c r="D9" s="2">
        <f>SUMPRODUCT((Votes!$E$2:$E$31&lt;&gt;"")*(((Votes!$E$2:$E$31=Key!$B$2:$B$31)+((Key!$C$2:$C$31&lt;&gt;"")*(Votes!$E$2:$E$31=Key!$C$2:$C$31)))&gt;0))</f>
        <v>23</v>
      </c>
      <c r="E9" s="28">
        <f t="shared" ref="E9:E16" si="1">IF(B9=0,"",C9/B9)</f>
        <v>0.6333333333</v>
      </c>
      <c r="F9" s="28">
        <f t="shared" ref="F9:F16" si="2">IF(B9=0,"",D9/B9)</f>
        <v>0.7666666667</v>
      </c>
      <c r="G9" s="30">
        <f>IF(B9=0,"",(C9/B9-SUMPRODUCT($B$32:$B$41,$C$32:$C$41)/B9^2)/(1-SUMPRODUCT($B$32:$B$41,$C$32:$C$41)/B9^2))</f>
        <v>0.5864661654</v>
      </c>
      <c r="H9" s="30">
        <f>IF(B9=0,"",(D9/B9-SUMPRODUCT($B$32:$B$41,$D$32:$D$41)/B9^2)/(1-SUMPRODUCT($B$32:$B$41,$D$32:$D$41)/B9^2))</f>
        <v>0.7355163728</v>
      </c>
    </row>
    <row r="10">
      <c r="A10" s="2" t="str">
        <f>Votes!F1</f>
        <v>2_CEBC</v>
      </c>
      <c r="B10" s="2">
        <f>COUNTIF(Votes!$F$2:$F$31,"?*")</f>
        <v>0</v>
      </c>
      <c r="C10" s="2">
        <f>SUMPRODUCT((Votes!$F$2:$F$31&lt;&gt;"")*(Votes!$F$2:$F$31=Key!$B$2:$B$31))</f>
        <v>0</v>
      </c>
      <c r="D10" s="2">
        <f>SUMPRODUCT((Votes!$F$2:$F$31&lt;&gt;"")*(((Votes!$F$2:$F$31=Key!$B$2:$B$31)+((Key!$C$2:$C$31&lt;&gt;"")*(Votes!$F$2:$F$31=Key!$C$2:$C$31)))&gt;0))</f>
        <v>0</v>
      </c>
      <c r="E10" s="28" t="str">
        <f t="shared" si="1"/>
        <v/>
      </c>
      <c r="F10" s="28" t="str">
        <f t="shared" si="2"/>
        <v/>
      </c>
      <c r="G10" s="30" t="str">
        <f>IF(B10=0,"",(C10/B10-SUMPRODUCT($E$32:$E$41,$F$32:$F$41)/B10^2)/(1-SUMPRODUCT($E$32:$E$41,$F$32:$F$41)/B10^2))</f>
        <v/>
      </c>
      <c r="H10" s="30" t="str">
        <f>IF(B10=0,"",(D10/B10-SUMPRODUCT($E$32:$E$41,$G$32:$G$41)/B10^2)/(1-SUMPRODUCT($E$32:$E$41,$G$32:$G$41)/B10^2))</f>
        <v/>
      </c>
    </row>
    <row r="11">
      <c r="A11" s="2" t="str">
        <f>Votes!G1</f>
        <v>3_FL</v>
      </c>
      <c r="B11" s="2">
        <f>COUNTIF(Votes!$G$2:$G$31,"?*")</f>
        <v>30</v>
      </c>
      <c r="C11" s="2">
        <f>SUMPRODUCT((Votes!$G$2:$G$31&lt;&gt;"")*(Votes!$G$2:$G$31=Key!$B$2:$B$31))</f>
        <v>20</v>
      </c>
      <c r="D11" s="2">
        <f>SUMPRODUCT((Votes!$G$2:$G$31&lt;&gt;"")*(((Votes!$G$2:$G$31=Key!$B$2:$B$31)+((Key!$C$2:$C$31&lt;&gt;"")*(Votes!$G$2:$G$31=Key!$C$2:$C$31)))&gt;0))</f>
        <v>26</v>
      </c>
      <c r="E11" s="28">
        <f t="shared" si="1"/>
        <v>0.6666666667</v>
      </c>
      <c r="F11" s="28">
        <f t="shared" si="2"/>
        <v>0.8666666667</v>
      </c>
      <c r="G11" s="30">
        <f>IF(B11=0,"",(C11/B11-SUMPRODUCT($H$32:$H$41,$I$32:$I$41)/B11^2)/(1-SUMPRODUCT($H$32:$H$41,$I$32:$I$41)/B11^2))</f>
        <v>0.625</v>
      </c>
      <c r="H11" s="30">
        <f>IF(B11=0,"",(D11/B11-SUMPRODUCT($H$32:$H$41,$J$32:$J$41)/B11^2)/(1-SUMPRODUCT($H$32:$H$41,$J$32:$J$41)/B11^2))</f>
        <v>0.8469387755</v>
      </c>
    </row>
    <row r="12">
      <c r="A12" s="2" t="str">
        <f>Votes!H1</f>
        <v>4_GR</v>
      </c>
      <c r="B12" s="2">
        <f>COUNTIF(Votes!$H$2:$H$31,"?*")</f>
        <v>30</v>
      </c>
      <c r="C12" s="2">
        <f>SUMPRODUCT((Votes!$H$2:$H$31&lt;&gt;"")*(Votes!$H$2:$H$31=Key!$B$2:$B$31))</f>
        <v>22</v>
      </c>
      <c r="D12" s="2">
        <f>SUMPRODUCT((Votes!$H$2:$H$31&lt;&gt;"")*(((Votes!$H$2:$H$31=Key!$B$2:$B$31)+((Key!$C$2:$C$31&lt;&gt;"")*(Votes!$H$2:$H$31=Key!$C$2:$C$31)))&gt;0))</f>
        <v>23</v>
      </c>
      <c r="E12" s="28">
        <f t="shared" si="1"/>
        <v>0.7333333333</v>
      </c>
      <c r="F12" s="28">
        <f t="shared" si="2"/>
        <v>0.7666666667</v>
      </c>
      <c r="G12" s="30">
        <f>IF(B12=0,"",(C12/B12-SUMPRODUCT($K$32:$K$41,$L$32:$L$41)/B12^2)/(1-SUMPRODUCT($K$32:$K$41,$L$32:$L$41)/B12^2))</f>
        <v>0.6992481203</v>
      </c>
      <c r="H12" s="30">
        <f>IF(B12=0,"",(D12/B12-SUMPRODUCT($K$32:$K$41,$M$32:$M$41)/B12^2)/(1-SUMPRODUCT($K$32:$K$41,$M$32:$M$41)/B12^2))</f>
        <v>0.7365119197</v>
      </c>
    </row>
    <row r="13">
      <c r="A13" s="2" t="str">
        <f>Votes!I1</f>
        <v>5_JA</v>
      </c>
      <c r="B13" s="2">
        <f>COUNTIF(Votes!$I$2:$I$31,"?*")</f>
        <v>30</v>
      </c>
      <c r="C13" s="2">
        <f>SUMPRODUCT((Votes!$I$2:$I$31&lt;&gt;"")*(Votes!$I$2:$I$31=Key!$B$2:$B$31))</f>
        <v>16</v>
      </c>
      <c r="D13" s="2">
        <f>SUMPRODUCT((Votes!$I$2:$I$31&lt;&gt;"")*(((Votes!$I$2:$I$31=Key!$B$2:$B$31)+((Key!$C$2:$C$31&lt;&gt;"")*(Votes!$I$2:$I$31=Key!$C$2:$C$31)))&gt;0))</f>
        <v>18</v>
      </c>
      <c r="E13" s="28">
        <f t="shared" si="1"/>
        <v>0.5333333333</v>
      </c>
      <c r="F13" s="28">
        <f t="shared" si="2"/>
        <v>0.6</v>
      </c>
      <c r="G13" s="30">
        <f>IF(B13=0,"",(C13/B13-SUMPRODUCT($N$32:$N$41,$O$32:$O$41)/B13^2)/(1-SUMPRODUCT($N$32:$N$41,$O$32:$O$41)/B13^2))</f>
        <v>0.4763092269</v>
      </c>
      <c r="H13" s="30">
        <f>IF(B13=0,"",(D13/B13-SUMPRODUCT($N$32:$N$41,$P$32:$P$41)/B13^2)/(1-SUMPRODUCT($N$32:$N$41,$P$32:$P$41)/B13^2))</f>
        <v>0.5505617978</v>
      </c>
    </row>
    <row r="14">
      <c r="A14" s="2" t="str">
        <f>Votes!J1</f>
        <v>6_JGAC</v>
      </c>
      <c r="B14" s="2">
        <f>COUNTIF(Votes!$J$2:$J$31,"?*")</f>
        <v>27</v>
      </c>
      <c r="C14" s="2">
        <f>SUMPRODUCT((Votes!$J$2:$J$31&lt;&gt;"")*(Votes!$J$2:$J$31=Key!$B$2:$B$31))</f>
        <v>25</v>
      </c>
      <c r="D14" s="2">
        <f>SUMPRODUCT((Votes!$J$2:$J$31&lt;&gt;"")*(((Votes!$J$2:$J$31=Key!$B$2:$B$31)+((Key!$C$2:$C$31&lt;&gt;"")*(Votes!$J$2:$J$31=Key!$C$2:$C$31)))&gt;0))</f>
        <v>26</v>
      </c>
      <c r="E14" s="28">
        <f t="shared" si="1"/>
        <v>0.9259259259</v>
      </c>
      <c r="F14" s="28">
        <f t="shared" si="2"/>
        <v>0.962962963</v>
      </c>
      <c r="G14" s="30">
        <f>IF(B14=0,"",(C14/B14-SUMPRODUCT($Q$32:$Q$41,$R$32:$R$41)/B14^2)/(1-SUMPRODUCT($Q$32:$Q$41,$R$32:$R$41)/B14^2))</f>
        <v>0.9157566303</v>
      </c>
      <c r="H14" s="30">
        <f>IF(B14=0,"",(D14/B14-SUMPRODUCT($Q$32:$Q$41,$S$32:$S$41)/B14^2)/(1-SUMPRODUCT($Q$32:$Q$41,$S$32:$S$41)/B14^2))</f>
        <v>0.9576802508</v>
      </c>
    </row>
    <row r="15">
      <c r="A15" s="2" t="str">
        <f>Votes!K1</f>
        <v>7_RAB</v>
      </c>
      <c r="B15" s="2">
        <f>COUNTIF(Votes!$K$2:$K$31,"?*")</f>
        <v>30</v>
      </c>
      <c r="C15" s="2">
        <f>SUMPRODUCT((Votes!$K$2:$K$31&lt;&gt;"")*(Votes!$K$2:$K$31=Key!$B$2:$B$31))</f>
        <v>17</v>
      </c>
      <c r="D15" s="2">
        <f>SUMPRODUCT((Votes!$K$2:$K$31&lt;&gt;"")*(((Votes!$K$2:$K$31=Key!$B$2:$B$31)+((Key!$C$2:$C$31&lt;&gt;"")*(Votes!$K$2:$K$31=Key!$C$2:$C$31)))&gt;0))</f>
        <v>20</v>
      </c>
      <c r="E15" s="28">
        <f t="shared" si="1"/>
        <v>0.5666666667</v>
      </c>
      <c r="F15" s="28">
        <f t="shared" si="2"/>
        <v>0.6666666667</v>
      </c>
      <c r="G15" s="30">
        <f>IF(B15=0,"",(C15/B15-SUMPRODUCT($T$32:$T$41,$U$32:$U$41)/B15^2)/(1-SUMPRODUCT($T$32:$T$41,$U$32:$U$41)/B15^2))</f>
        <v>0.5149253731</v>
      </c>
      <c r="H15" s="30">
        <f>IF(B15=0,"",(D15/B15-SUMPRODUCT($T$32:$T$41,$V$32:$V$41)/B15^2)/(1-SUMPRODUCT($T$32:$T$41,$V$32:$V$41)/B15^2))</f>
        <v>0.625</v>
      </c>
    </row>
    <row r="16">
      <c r="A16" s="2" t="str">
        <f>Votes!L1</f>
        <v>8_ST</v>
      </c>
      <c r="B16" s="2">
        <f>COUNTIF(Votes!$L$2:$L$31,"?*")</f>
        <v>30</v>
      </c>
      <c r="C16" s="2">
        <f>SUMPRODUCT((Votes!$L$2:$L$31&lt;&gt;"")*(Votes!$L$2:$L$31=Key!$B$2:$B$31))</f>
        <v>15</v>
      </c>
      <c r="D16" s="2">
        <f>SUMPRODUCT((Votes!$L$2:$L$31&lt;&gt;"")*(((Votes!$L$2:$L$31=Key!$B$2:$B$31)+((Key!$C$2:$C$31&lt;&gt;"")*(Votes!$L$2:$L$31=Key!$C$2:$C$31)))&gt;0))</f>
        <v>18</v>
      </c>
      <c r="E16" s="28">
        <f t="shared" si="1"/>
        <v>0.5</v>
      </c>
      <c r="F16" s="28">
        <f t="shared" si="2"/>
        <v>0.6</v>
      </c>
      <c r="G16" s="30">
        <f>IF(B16=0,"",(C16/B16-SUMPRODUCT($W$32:$W$41,$X$32:$X$41)/B16^2)/(1-SUMPRODUCT($W$32:$W$41,$X$32:$X$41)/B16^2))</f>
        <v>0.4389027431</v>
      </c>
      <c r="H16" s="30">
        <f>IF(B16=0,"",(D16/B16-SUMPRODUCT($W$32:$W$41,$Y$32:$Y$41)/B16^2)/(1-SUMPRODUCT($W$32:$W$41,$Y$32:$Y$41)/B16^2))</f>
        <v>0.55</v>
      </c>
    </row>
    <row r="17">
      <c r="A17" s="22" t="s">
        <v>275</v>
      </c>
      <c r="B17" s="22">
        <f t="shared" ref="B17:D17" si="3">SUM(B9:B16)</f>
        <v>207</v>
      </c>
      <c r="C17" s="22">
        <f t="shared" si="3"/>
        <v>134</v>
      </c>
      <c r="D17" s="22">
        <f t="shared" si="3"/>
        <v>154</v>
      </c>
      <c r="E17" s="35">
        <f>C17/B17</f>
        <v>0.6473429952</v>
      </c>
      <c r="F17" s="35">
        <f>D17/B17</f>
        <v>0.7439613527</v>
      </c>
      <c r="G17" s="36">
        <f t="shared" ref="G17:H17" si="4">AVERAGE(G9:G16)</f>
        <v>0.6080868942</v>
      </c>
      <c r="H17" s="36">
        <f t="shared" si="4"/>
        <v>0.7146013024</v>
      </c>
      <c r="I17" s="25" t="s">
        <v>283</v>
      </c>
    </row>
    <row r="19">
      <c r="A19" s="25" t="s">
        <v>284</v>
      </c>
    </row>
    <row r="20">
      <c r="A20" s="25" t="s">
        <v>285</v>
      </c>
    </row>
    <row r="21" ht="15.75" customHeight="1">
      <c r="A21" s="25" t="s">
        <v>286</v>
      </c>
    </row>
    <row r="22" ht="15.75" customHeight="1">
      <c r="A22" s="25" t="s">
        <v>287</v>
      </c>
    </row>
    <row r="23" ht="15.75" customHeight="1"/>
    <row r="24" ht="15.75" customHeight="1"/>
    <row r="25" ht="15.75" customHeight="1"/>
    <row r="26" ht="15.75" customHeight="1"/>
    <row r="27" ht="15.75" customHeight="1"/>
    <row r="28" ht="15.75" customHeight="1"/>
    <row r="29" ht="15.75" customHeight="1"/>
    <row r="30" ht="15.75" customHeight="1">
      <c r="A30" s="22" t="s">
        <v>289</v>
      </c>
    </row>
    <row r="31" ht="15.75" customHeight="1">
      <c r="A31" s="26" t="s">
        <v>290</v>
      </c>
      <c r="B31" s="26" t="str">
        <f>Votes!E1&amp;" P"</f>
        <v>1_ABC P</v>
      </c>
      <c r="C31" s="26" t="str">
        <f>Votes!E1&amp;" K"</f>
        <v>1_ABC K</v>
      </c>
      <c r="D31" s="26" t="str">
        <f>Votes!E1&amp;" KL"</f>
        <v>1_ABC KL</v>
      </c>
      <c r="E31" s="26" t="str">
        <f>Votes!F1&amp;" P"</f>
        <v>2_CEBC P</v>
      </c>
      <c r="F31" s="26" t="str">
        <f>Votes!F1&amp;" K"</f>
        <v>2_CEBC K</v>
      </c>
      <c r="G31" s="26" t="str">
        <f>Votes!F1&amp;" KL"</f>
        <v>2_CEBC KL</v>
      </c>
      <c r="H31" s="26" t="str">
        <f>Votes!G1&amp;" P"</f>
        <v>3_FL P</v>
      </c>
      <c r="I31" s="26" t="str">
        <f>Votes!G1&amp;" K"</f>
        <v>3_FL K</v>
      </c>
      <c r="J31" s="26" t="str">
        <f>Votes!G1&amp;" KL"</f>
        <v>3_FL KL</v>
      </c>
      <c r="K31" s="26" t="str">
        <f>Votes!H1&amp;" P"</f>
        <v>4_GR P</v>
      </c>
      <c r="L31" s="26" t="str">
        <f>Votes!H1&amp;" K"</f>
        <v>4_GR K</v>
      </c>
      <c r="M31" s="26" t="str">
        <f>Votes!H1&amp;" KL"</f>
        <v>4_GR KL</v>
      </c>
      <c r="N31" s="26" t="str">
        <f>Votes!I1&amp;" P"</f>
        <v>5_JA P</v>
      </c>
      <c r="O31" s="26" t="str">
        <f>Votes!I1&amp;" K"</f>
        <v>5_JA K</v>
      </c>
      <c r="P31" s="26" t="str">
        <f>Votes!I1&amp;" KL"</f>
        <v>5_JA KL</v>
      </c>
      <c r="Q31" s="26" t="str">
        <f>Votes!J1&amp;" P"</f>
        <v>6_JGAC P</v>
      </c>
      <c r="R31" s="26" t="str">
        <f>Votes!J1&amp;" K"</f>
        <v>6_JGAC K</v>
      </c>
      <c r="S31" s="26" t="str">
        <f>Votes!J1&amp;" KL"</f>
        <v>6_JGAC KL</v>
      </c>
      <c r="T31" s="26" t="str">
        <f>Votes!K1&amp;" P"</f>
        <v>7_RAB P</v>
      </c>
      <c r="U31" s="26" t="str">
        <f>Votes!K1&amp;" K"</f>
        <v>7_RAB K</v>
      </c>
      <c r="V31" s="26" t="str">
        <f>Votes!K1&amp;" KL"</f>
        <v>7_RAB KL</v>
      </c>
      <c r="W31" s="26" t="str">
        <f>Votes!L1&amp;" P"</f>
        <v>8_ST P</v>
      </c>
      <c r="X31" s="26" t="str">
        <f>Votes!L1&amp;" K"</f>
        <v>8_ST K</v>
      </c>
      <c r="Y31" s="26" t="str">
        <f>Votes!L1&amp;" KL"</f>
        <v>8_ST KL</v>
      </c>
    </row>
    <row r="32" ht="15.75" customHeight="1">
      <c r="A32" s="2" t="s">
        <v>33</v>
      </c>
      <c r="B32" s="2">
        <f>COUNTIF(Votes!$E$2:$E$31,$A32)</f>
        <v>5</v>
      </c>
      <c r="C32" s="2">
        <f>SUMPRODUCT((Votes!$E$2:$E$31&lt;&gt;"")*(Key!$B$2:$B$31=$A32))</f>
        <v>3</v>
      </c>
      <c r="D32" s="2">
        <f>SUMPRODUCT((Votes!$E$2:$E$31&lt;&gt;"")*(((Key!$C$2:$C$31&lt;&gt;"")*(Votes!$E$2:$E$31=Key!$C$2:$C$31))*(Votes!$E$2:$E$31=$A32)+(1-((Key!$C$2:$C$31&lt;&gt;"")*(Votes!$E$2:$E$31=Key!$C$2:$C$31)))*(Key!$B$2:$B$31=$A32)))</f>
        <v>5</v>
      </c>
      <c r="E32" s="2">
        <f>COUNTIF(Votes!$F$2:$F$31,$A32)</f>
        <v>0</v>
      </c>
      <c r="F32" s="2">
        <f>SUMPRODUCT((Votes!$F$2:$F$31&lt;&gt;"")*(Key!$B$2:$B$31=$A32))</f>
        <v>0</v>
      </c>
      <c r="G32" s="2">
        <f>SUMPRODUCT((Votes!$F$2:$F$31&lt;&gt;"")*(((Key!$C$2:$C$31&lt;&gt;"")*(Votes!$F$2:$F$31=Key!$C$2:$C$31))*(Votes!$F$2:$F$31=$A32)+(1-((Key!$C$2:$C$31&lt;&gt;"")*(Votes!$F$2:$F$31=Key!$C$2:$C$31)))*(Key!$B$2:$B$31=$A32)))</f>
        <v>0</v>
      </c>
      <c r="H32" s="2">
        <f>COUNTIF(Votes!$G$2:$G$31,$A32)</f>
        <v>0</v>
      </c>
      <c r="I32" s="2">
        <f>SUMPRODUCT((Votes!$G$2:$G$31&lt;&gt;"")*(Key!$B$2:$B$31=$A32))</f>
        <v>3</v>
      </c>
      <c r="J32" s="2">
        <f>SUMPRODUCT((Votes!$G$2:$G$31&lt;&gt;"")*(((Key!$C$2:$C$31&lt;&gt;"")*(Votes!$G$2:$G$31=Key!$C$2:$C$31))*(Votes!$G$2:$G$31=$A32)+(1-((Key!$C$2:$C$31&lt;&gt;"")*(Votes!$G$2:$G$31=Key!$C$2:$C$31)))*(Key!$B$2:$B$31=$A32)))</f>
        <v>2</v>
      </c>
      <c r="K32" s="2">
        <f>COUNTIF(Votes!$H$2:$H$31,$A32)</f>
        <v>2</v>
      </c>
      <c r="L32" s="2">
        <f>SUMPRODUCT((Votes!$H$2:$H$31&lt;&gt;"")*(Key!$B$2:$B$31=$A32))</f>
        <v>3</v>
      </c>
      <c r="M32" s="2">
        <f>SUMPRODUCT((Votes!$H$2:$H$31&lt;&gt;"")*(((Key!$C$2:$C$31&lt;&gt;"")*(Votes!$H$2:$H$31=Key!$C$2:$C$31))*(Votes!$H$2:$H$31=$A32)+(1-((Key!$C$2:$C$31&lt;&gt;"")*(Votes!$H$2:$H$31=Key!$C$2:$C$31)))*(Key!$B$2:$B$31=$A32)))</f>
        <v>3</v>
      </c>
      <c r="N32" s="2">
        <f>COUNTIF(Votes!$I$2:$I$31,$A32)</f>
        <v>6</v>
      </c>
      <c r="O32" s="2">
        <f>SUMPRODUCT((Votes!$I$2:$I$31&lt;&gt;"")*(Key!$B$2:$B$31=$A32))</f>
        <v>3</v>
      </c>
      <c r="P32" s="2">
        <f>SUMPRODUCT((Votes!$I$2:$I$31&lt;&gt;"")*(((Key!$C$2:$C$31&lt;&gt;"")*(Votes!$I$2:$I$31=Key!$C$2:$C$31))*(Votes!$I$2:$I$31=$A32)+(1-((Key!$C$2:$C$31&lt;&gt;"")*(Votes!$I$2:$I$31=Key!$C$2:$C$31)))*(Key!$B$2:$B$31=$A32)))</f>
        <v>2</v>
      </c>
      <c r="Q32" s="2">
        <f>COUNTIF(Votes!$J$2:$J$31,$A32)</f>
        <v>3</v>
      </c>
      <c r="R32" s="2">
        <f>SUMPRODUCT((Votes!$J$2:$J$31&lt;&gt;"")*(Key!$B$2:$B$31=$A32))</f>
        <v>3</v>
      </c>
      <c r="S32" s="2">
        <f>SUMPRODUCT((Votes!$J$2:$J$31&lt;&gt;"")*(((Key!$C$2:$C$31&lt;&gt;"")*(Votes!$J$2:$J$31=Key!$C$2:$C$31))*(Votes!$J$2:$J$31=$A32)+(1-((Key!$C$2:$C$31&lt;&gt;"")*(Votes!$J$2:$J$31=Key!$C$2:$C$31)))*(Key!$B$2:$B$31=$A32)))</f>
        <v>3</v>
      </c>
      <c r="T32" s="2">
        <f>COUNTIF(Votes!$K$2:$K$31,$A32)</f>
        <v>5</v>
      </c>
      <c r="U32" s="2">
        <f>SUMPRODUCT((Votes!$K$2:$K$31&lt;&gt;"")*(Key!$B$2:$B$31=$A32))</f>
        <v>3</v>
      </c>
      <c r="V32" s="2">
        <f>SUMPRODUCT((Votes!$K$2:$K$31&lt;&gt;"")*(((Key!$C$2:$C$31&lt;&gt;"")*(Votes!$K$2:$K$31=Key!$C$2:$C$31))*(Votes!$K$2:$K$31=$A32)+(1-((Key!$C$2:$C$31&lt;&gt;"")*(Votes!$K$2:$K$31=Key!$C$2:$C$31)))*(Key!$B$2:$B$31=$A32)))</f>
        <v>5</v>
      </c>
      <c r="W32" s="2">
        <f>COUNTIF(Votes!$L$2:$L$31,$A32)</f>
        <v>4</v>
      </c>
      <c r="X32" s="2">
        <f>SUMPRODUCT((Votes!$L$2:$L$31&lt;&gt;"")*(Key!$B$2:$B$31=$A32))</f>
        <v>3</v>
      </c>
      <c r="Y32" s="2">
        <f>SUMPRODUCT((Votes!$L$2:$L$31&lt;&gt;"")*(((Key!$C$2:$C$31&lt;&gt;"")*(Votes!$L$2:$L$31=Key!$C$2:$C$31))*(Votes!$L$2:$L$31=$A32)+(1-((Key!$C$2:$C$31&lt;&gt;"")*(Votes!$L$2:$L$31=Key!$C$2:$C$31)))*(Key!$B$2:$B$31=$A32)))</f>
        <v>3</v>
      </c>
    </row>
    <row r="33" ht="15.75" customHeight="1">
      <c r="A33" s="2" t="s">
        <v>30</v>
      </c>
      <c r="B33" s="2">
        <f>COUNTIF(Votes!$E$2:$E$31,$A33)</f>
        <v>4</v>
      </c>
      <c r="C33" s="2">
        <f>SUMPRODUCT((Votes!$E$2:$E$31&lt;&gt;"")*(Key!$B$2:$B$31=$A33))</f>
        <v>3</v>
      </c>
      <c r="D33" s="2">
        <f>SUMPRODUCT((Votes!$E$2:$E$31&lt;&gt;"")*(((Key!$C$2:$C$31&lt;&gt;"")*(Votes!$E$2:$E$31=Key!$C$2:$C$31))*(Votes!$E$2:$E$31=$A33)+(1-((Key!$C$2:$C$31&lt;&gt;"")*(Votes!$E$2:$E$31=Key!$C$2:$C$31)))*(Key!$B$2:$B$31=$A33)))</f>
        <v>3</v>
      </c>
      <c r="E33" s="2">
        <f>COUNTIF(Votes!$F$2:$F$31,$A33)</f>
        <v>0</v>
      </c>
      <c r="F33" s="2">
        <f>SUMPRODUCT((Votes!$F$2:$F$31&lt;&gt;"")*(Key!$B$2:$B$31=$A33))</f>
        <v>0</v>
      </c>
      <c r="G33" s="2">
        <f>SUMPRODUCT((Votes!$F$2:$F$31&lt;&gt;"")*(((Key!$C$2:$C$31&lt;&gt;"")*(Votes!$F$2:$F$31=Key!$C$2:$C$31))*(Votes!$F$2:$F$31=$A33)+(1-((Key!$C$2:$C$31&lt;&gt;"")*(Votes!$F$2:$F$31=Key!$C$2:$C$31)))*(Key!$B$2:$B$31=$A33)))</f>
        <v>0</v>
      </c>
      <c r="H33" s="2">
        <f>COUNTIF(Votes!$G$2:$G$31,$A33)</f>
        <v>4</v>
      </c>
      <c r="I33" s="2">
        <f>SUMPRODUCT((Votes!$G$2:$G$31&lt;&gt;"")*(Key!$B$2:$B$31=$A33))</f>
        <v>3</v>
      </c>
      <c r="J33" s="2">
        <f>SUMPRODUCT((Votes!$G$2:$G$31&lt;&gt;"")*(((Key!$C$2:$C$31&lt;&gt;"")*(Votes!$G$2:$G$31=Key!$C$2:$C$31))*(Votes!$G$2:$G$31=$A33)+(1-((Key!$C$2:$C$31&lt;&gt;"")*(Votes!$G$2:$G$31=Key!$C$2:$C$31)))*(Key!$B$2:$B$31=$A33)))</f>
        <v>5</v>
      </c>
      <c r="K33" s="2">
        <f>COUNTIF(Votes!$H$2:$H$31,$A33)</f>
        <v>2</v>
      </c>
      <c r="L33" s="2">
        <f>SUMPRODUCT((Votes!$H$2:$H$31&lt;&gt;"")*(Key!$B$2:$B$31=$A33))</f>
        <v>3</v>
      </c>
      <c r="M33" s="2">
        <f>SUMPRODUCT((Votes!$H$2:$H$31&lt;&gt;"")*(((Key!$C$2:$C$31&lt;&gt;"")*(Votes!$H$2:$H$31=Key!$C$2:$C$31))*(Votes!$H$2:$H$31=$A33)+(1-((Key!$C$2:$C$31&lt;&gt;"")*(Votes!$H$2:$H$31=Key!$C$2:$C$31)))*(Key!$B$2:$B$31=$A33)))</f>
        <v>3</v>
      </c>
      <c r="N33" s="2">
        <f>COUNTIF(Votes!$I$2:$I$31,$A33)</f>
        <v>3</v>
      </c>
      <c r="O33" s="2">
        <f>SUMPRODUCT((Votes!$I$2:$I$31&lt;&gt;"")*(Key!$B$2:$B$31=$A33))</f>
        <v>3</v>
      </c>
      <c r="P33" s="2">
        <f>SUMPRODUCT((Votes!$I$2:$I$31&lt;&gt;"")*(((Key!$C$2:$C$31&lt;&gt;"")*(Votes!$I$2:$I$31=Key!$C$2:$C$31))*(Votes!$I$2:$I$31=$A33)+(1-((Key!$C$2:$C$31&lt;&gt;"")*(Votes!$I$2:$I$31=Key!$C$2:$C$31)))*(Key!$B$2:$B$31=$A33)))</f>
        <v>4</v>
      </c>
      <c r="Q33" s="2">
        <f>COUNTIF(Votes!$J$2:$J$31,$A33)</f>
        <v>3</v>
      </c>
      <c r="R33" s="2">
        <f>SUMPRODUCT((Votes!$J$2:$J$31&lt;&gt;"")*(Key!$B$2:$B$31=$A33))</f>
        <v>3</v>
      </c>
      <c r="S33" s="2">
        <f>SUMPRODUCT((Votes!$J$2:$J$31&lt;&gt;"")*(((Key!$C$2:$C$31&lt;&gt;"")*(Votes!$J$2:$J$31=Key!$C$2:$C$31))*(Votes!$J$2:$J$31=$A33)+(1-((Key!$C$2:$C$31&lt;&gt;"")*(Votes!$J$2:$J$31=Key!$C$2:$C$31)))*(Key!$B$2:$B$31=$A33)))</f>
        <v>3</v>
      </c>
      <c r="T33" s="2">
        <f>COUNTIF(Votes!$K$2:$K$31,$A33)</f>
        <v>4</v>
      </c>
      <c r="U33" s="2">
        <f>SUMPRODUCT((Votes!$K$2:$K$31&lt;&gt;"")*(Key!$B$2:$B$31=$A33))</f>
        <v>3</v>
      </c>
      <c r="V33" s="2">
        <f>SUMPRODUCT((Votes!$K$2:$K$31&lt;&gt;"")*(((Key!$C$2:$C$31&lt;&gt;"")*(Votes!$K$2:$K$31=Key!$C$2:$C$31))*(Votes!$K$2:$K$31=$A33)+(1-((Key!$C$2:$C$31&lt;&gt;"")*(Votes!$K$2:$K$31=Key!$C$2:$C$31)))*(Key!$B$2:$B$31=$A33)))</f>
        <v>2</v>
      </c>
      <c r="W33" s="2">
        <f>COUNTIF(Votes!$L$2:$L$31,$A33)</f>
        <v>1</v>
      </c>
      <c r="X33" s="2">
        <f>SUMPRODUCT((Votes!$L$2:$L$31&lt;&gt;"")*(Key!$B$2:$B$31=$A33))</f>
        <v>3</v>
      </c>
      <c r="Y33" s="2">
        <f>SUMPRODUCT((Votes!$L$2:$L$31&lt;&gt;"")*(((Key!$C$2:$C$31&lt;&gt;"")*(Votes!$L$2:$L$31=Key!$C$2:$C$31))*(Votes!$L$2:$L$31=$A33)+(1-((Key!$C$2:$C$31&lt;&gt;"")*(Votes!$L$2:$L$31=Key!$C$2:$C$31)))*(Key!$B$2:$B$31=$A33)))</f>
        <v>3</v>
      </c>
    </row>
    <row r="34" ht="15.75" customHeight="1">
      <c r="A34" s="2" t="s">
        <v>12</v>
      </c>
      <c r="B34" s="2">
        <f>COUNTIF(Votes!$E$2:$E$31,$A34)</f>
        <v>4</v>
      </c>
      <c r="C34" s="2">
        <f>SUMPRODUCT((Votes!$E$2:$E$31&lt;&gt;"")*(Key!$B$2:$B$31=$A34))</f>
        <v>3</v>
      </c>
      <c r="D34" s="2">
        <f>SUMPRODUCT((Votes!$E$2:$E$31&lt;&gt;"")*(((Key!$C$2:$C$31&lt;&gt;"")*(Votes!$E$2:$E$31=Key!$C$2:$C$31))*(Votes!$E$2:$E$31=$A34)+(1-((Key!$C$2:$C$31&lt;&gt;"")*(Votes!$E$2:$E$31=Key!$C$2:$C$31)))*(Key!$B$2:$B$31=$A34)))</f>
        <v>3</v>
      </c>
      <c r="E34" s="2">
        <f>COUNTIF(Votes!$F$2:$F$31,$A34)</f>
        <v>0</v>
      </c>
      <c r="F34" s="2">
        <f>SUMPRODUCT((Votes!$F$2:$F$31&lt;&gt;"")*(Key!$B$2:$B$31=$A34))</f>
        <v>0</v>
      </c>
      <c r="G34" s="2">
        <f>SUMPRODUCT((Votes!$F$2:$F$31&lt;&gt;"")*(((Key!$C$2:$C$31&lt;&gt;"")*(Votes!$F$2:$F$31=Key!$C$2:$C$31))*(Votes!$F$2:$F$31=$A34)+(1-((Key!$C$2:$C$31&lt;&gt;"")*(Votes!$F$2:$F$31=Key!$C$2:$C$31)))*(Key!$B$2:$B$31=$A34)))</f>
        <v>0</v>
      </c>
      <c r="H34" s="2">
        <f>COUNTIF(Votes!$G$2:$G$31,$A34)</f>
        <v>4</v>
      </c>
      <c r="I34" s="2">
        <f>SUMPRODUCT((Votes!$G$2:$G$31&lt;&gt;"")*(Key!$B$2:$B$31=$A34))</f>
        <v>3</v>
      </c>
      <c r="J34" s="2">
        <f>SUMPRODUCT((Votes!$G$2:$G$31&lt;&gt;"")*(((Key!$C$2:$C$31&lt;&gt;"")*(Votes!$G$2:$G$31=Key!$C$2:$C$31))*(Votes!$G$2:$G$31=$A34)+(1-((Key!$C$2:$C$31&lt;&gt;"")*(Votes!$G$2:$G$31=Key!$C$2:$C$31)))*(Key!$B$2:$B$31=$A34)))</f>
        <v>3</v>
      </c>
      <c r="K34" s="2">
        <f>COUNTIF(Votes!$H$2:$H$31,$A34)</f>
        <v>4</v>
      </c>
      <c r="L34" s="2">
        <f>SUMPRODUCT((Votes!$H$2:$H$31&lt;&gt;"")*(Key!$B$2:$B$31=$A34))</f>
        <v>3</v>
      </c>
      <c r="M34" s="2">
        <f>SUMPRODUCT((Votes!$H$2:$H$31&lt;&gt;"")*(((Key!$C$2:$C$31&lt;&gt;"")*(Votes!$H$2:$H$31=Key!$C$2:$C$31))*(Votes!$H$2:$H$31=$A34)+(1-((Key!$C$2:$C$31&lt;&gt;"")*(Votes!$H$2:$H$31=Key!$C$2:$C$31)))*(Key!$B$2:$B$31=$A34)))</f>
        <v>2</v>
      </c>
      <c r="N34" s="2">
        <f>COUNTIF(Votes!$I$2:$I$31,$A34)</f>
        <v>2</v>
      </c>
      <c r="O34" s="2">
        <f>SUMPRODUCT((Votes!$I$2:$I$31&lt;&gt;"")*(Key!$B$2:$B$31=$A34))</f>
        <v>3</v>
      </c>
      <c r="P34" s="2">
        <f>SUMPRODUCT((Votes!$I$2:$I$31&lt;&gt;"")*(((Key!$C$2:$C$31&lt;&gt;"")*(Votes!$I$2:$I$31=Key!$C$2:$C$31))*(Votes!$I$2:$I$31=$A34)+(1-((Key!$C$2:$C$31&lt;&gt;"")*(Votes!$I$2:$I$31=Key!$C$2:$C$31)))*(Key!$B$2:$B$31=$A34)))</f>
        <v>3</v>
      </c>
      <c r="Q34" s="2">
        <f>COUNTIF(Votes!$J$2:$J$31,$A34)</f>
        <v>1</v>
      </c>
      <c r="R34" s="2">
        <f>SUMPRODUCT((Votes!$J$2:$J$31&lt;&gt;"")*(Key!$B$2:$B$31=$A34))</f>
        <v>3</v>
      </c>
      <c r="S34" s="2">
        <f>SUMPRODUCT((Votes!$J$2:$J$31&lt;&gt;"")*(((Key!$C$2:$C$31&lt;&gt;"")*(Votes!$J$2:$J$31=Key!$C$2:$C$31))*(Votes!$J$2:$J$31=$A34)+(1-((Key!$C$2:$C$31&lt;&gt;"")*(Votes!$J$2:$J$31=Key!$C$2:$C$31)))*(Key!$B$2:$B$31=$A34)))</f>
        <v>2</v>
      </c>
      <c r="T34" s="2">
        <f>COUNTIF(Votes!$K$2:$K$31,$A34)</f>
        <v>5</v>
      </c>
      <c r="U34" s="2">
        <f>SUMPRODUCT((Votes!$K$2:$K$31&lt;&gt;"")*(Key!$B$2:$B$31=$A34))</f>
        <v>3</v>
      </c>
      <c r="V34" s="2">
        <f>SUMPRODUCT((Votes!$K$2:$K$31&lt;&gt;"")*(((Key!$C$2:$C$31&lt;&gt;"")*(Votes!$K$2:$K$31=Key!$C$2:$C$31))*(Votes!$K$2:$K$31=$A34)+(1-((Key!$C$2:$C$31&lt;&gt;"")*(Votes!$K$2:$K$31=Key!$C$2:$C$31)))*(Key!$B$2:$B$31=$A34)))</f>
        <v>3</v>
      </c>
      <c r="W34" s="2">
        <f>COUNTIF(Votes!$L$2:$L$31,$A34)</f>
        <v>3</v>
      </c>
      <c r="X34" s="2">
        <f>SUMPRODUCT((Votes!$L$2:$L$31&lt;&gt;"")*(Key!$B$2:$B$31=$A34))</f>
        <v>3</v>
      </c>
      <c r="Y34" s="2">
        <f>SUMPRODUCT((Votes!$L$2:$L$31&lt;&gt;"")*(((Key!$C$2:$C$31&lt;&gt;"")*(Votes!$L$2:$L$31=Key!$C$2:$C$31))*(Votes!$L$2:$L$31=$A34)+(1-((Key!$C$2:$C$31&lt;&gt;"")*(Votes!$L$2:$L$31=Key!$C$2:$C$31)))*(Key!$B$2:$B$31=$A34)))</f>
        <v>3</v>
      </c>
    </row>
    <row r="35" ht="15.75" customHeight="1">
      <c r="A35" s="2" t="s">
        <v>45</v>
      </c>
      <c r="B35" s="2">
        <f>COUNTIF(Votes!$E$2:$E$31,$A35)</f>
        <v>2</v>
      </c>
      <c r="C35" s="2">
        <f>SUMPRODUCT((Votes!$E$2:$E$31&lt;&gt;"")*(Key!$B$2:$B$31=$A35))</f>
        <v>3</v>
      </c>
      <c r="D35" s="2">
        <f>SUMPRODUCT((Votes!$E$2:$E$31&lt;&gt;"")*(((Key!$C$2:$C$31&lt;&gt;"")*(Votes!$E$2:$E$31=Key!$C$2:$C$31))*(Votes!$E$2:$E$31=$A35)+(1-((Key!$C$2:$C$31&lt;&gt;"")*(Votes!$E$2:$E$31=Key!$C$2:$C$31)))*(Key!$B$2:$B$31=$A35)))</f>
        <v>3</v>
      </c>
      <c r="E35" s="2">
        <f>COUNTIF(Votes!$F$2:$F$31,$A35)</f>
        <v>0</v>
      </c>
      <c r="F35" s="2">
        <f>SUMPRODUCT((Votes!$F$2:$F$31&lt;&gt;"")*(Key!$B$2:$B$31=$A35))</f>
        <v>0</v>
      </c>
      <c r="G35" s="2">
        <f>SUMPRODUCT((Votes!$F$2:$F$31&lt;&gt;"")*(((Key!$C$2:$C$31&lt;&gt;"")*(Votes!$F$2:$F$31=Key!$C$2:$C$31))*(Votes!$F$2:$F$31=$A35)+(1-((Key!$C$2:$C$31&lt;&gt;"")*(Votes!$F$2:$F$31=Key!$C$2:$C$31)))*(Key!$B$2:$B$31=$A35)))</f>
        <v>0</v>
      </c>
      <c r="H35" s="2">
        <f>COUNTIF(Votes!$G$2:$G$31,$A35)</f>
        <v>7</v>
      </c>
      <c r="I35" s="2">
        <f>SUMPRODUCT((Votes!$G$2:$G$31&lt;&gt;"")*(Key!$B$2:$B$31=$A35))</f>
        <v>3</v>
      </c>
      <c r="J35" s="2">
        <f>SUMPRODUCT((Votes!$G$2:$G$31&lt;&gt;"")*(((Key!$C$2:$C$31&lt;&gt;"")*(Votes!$G$2:$G$31=Key!$C$2:$C$31))*(Votes!$G$2:$G$31=$A35)+(1-((Key!$C$2:$C$31&lt;&gt;"")*(Votes!$G$2:$G$31=Key!$C$2:$C$31)))*(Key!$B$2:$B$31=$A35)))</f>
        <v>5</v>
      </c>
      <c r="K35" s="2">
        <f>COUNTIF(Votes!$H$2:$H$31,$A35)</f>
        <v>4</v>
      </c>
      <c r="L35" s="2">
        <f>SUMPRODUCT((Votes!$H$2:$H$31&lt;&gt;"")*(Key!$B$2:$B$31=$A35))</f>
        <v>3</v>
      </c>
      <c r="M35" s="2">
        <f>SUMPRODUCT((Votes!$H$2:$H$31&lt;&gt;"")*(((Key!$C$2:$C$31&lt;&gt;"")*(Votes!$H$2:$H$31=Key!$C$2:$C$31))*(Votes!$H$2:$H$31=$A35)+(1-((Key!$C$2:$C$31&lt;&gt;"")*(Votes!$H$2:$H$31=Key!$C$2:$C$31)))*(Key!$B$2:$B$31=$A35)))</f>
        <v>3</v>
      </c>
      <c r="N35" s="2">
        <f>COUNTIF(Votes!$I$2:$I$31,$A35)</f>
        <v>6</v>
      </c>
      <c r="O35" s="2">
        <f>SUMPRODUCT((Votes!$I$2:$I$31&lt;&gt;"")*(Key!$B$2:$B$31=$A35))</f>
        <v>3</v>
      </c>
      <c r="P35" s="2">
        <f>SUMPRODUCT((Votes!$I$2:$I$31&lt;&gt;"")*(((Key!$C$2:$C$31&lt;&gt;"")*(Votes!$I$2:$I$31=Key!$C$2:$C$31))*(Votes!$I$2:$I$31=$A35)+(1-((Key!$C$2:$C$31&lt;&gt;"")*(Votes!$I$2:$I$31=Key!$C$2:$C$31)))*(Key!$B$2:$B$31=$A35)))</f>
        <v>4</v>
      </c>
      <c r="Q35" s="2">
        <f>COUNTIF(Votes!$J$2:$J$31,$A35)</f>
        <v>2</v>
      </c>
      <c r="R35" s="2">
        <f>SUMPRODUCT((Votes!$J$2:$J$31&lt;&gt;"")*(Key!$B$2:$B$31=$A35))</f>
        <v>2</v>
      </c>
      <c r="S35" s="2">
        <f>SUMPRODUCT((Votes!$J$2:$J$31&lt;&gt;"")*(((Key!$C$2:$C$31&lt;&gt;"")*(Votes!$J$2:$J$31=Key!$C$2:$C$31))*(Votes!$J$2:$J$31=$A35)+(1-((Key!$C$2:$C$31&lt;&gt;"")*(Votes!$J$2:$J$31=Key!$C$2:$C$31)))*(Key!$B$2:$B$31=$A35)))</f>
        <v>2</v>
      </c>
      <c r="T35" s="2">
        <f>COUNTIF(Votes!$K$2:$K$31,$A35)</f>
        <v>3</v>
      </c>
      <c r="U35" s="2">
        <f>SUMPRODUCT((Votes!$K$2:$K$31&lt;&gt;"")*(Key!$B$2:$B$31=$A35))</f>
        <v>3</v>
      </c>
      <c r="V35" s="2">
        <f>SUMPRODUCT((Votes!$K$2:$K$31&lt;&gt;"")*(((Key!$C$2:$C$31&lt;&gt;"")*(Votes!$K$2:$K$31=Key!$C$2:$C$31))*(Votes!$K$2:$K$31=$A35)+(1-((Key!$C$2:$C$31&lt;&gt;"")*(Votes!$K$2:$K$31=Key!$C$2:$C$31)))*(Key!$B$2:$B$31=$A35)))</f>
        <v>3</v>
      </c>
      <c r="W35" s="2">
        <f>COUNTIF(Votes!$L$2:$L$31,$A35)</f>
        <v>6</v>
      </c>
      <c r="X35" s="2">
        <f>SUMPRODUCT((Votes!$L$2:$L$31&lt;&gt;"")*(Key!$B$2:$B$31=$A35))</f>
        <v>3</v>
      </c>
      <c r="Y35" s="2">
        <f>SUMPRODUCT((Votes!$L$2:$L$31&lt;&gt;"")*(((Key!$C$2:$C$31&lt;&gt;"")*(Votes!$L$2:$L$31=Key!$C$2:$C$31))*(Votes!$L$2:$L$31=$A35)+(1-((Key!$C$2:$C$31&lt;&gt;"")*(Votes!$L$2:$L$31=Key!$C$2:$C$31)))*(Key!$B$2:$B$31=$A35)))</f>
        <v>4</v>
      </c>
    </row>
    <row r="36" ht="15.75" customHeight="1">
      <c r="A36" s="2" t="s">
        <v>8</v>
      </c>
      <c r="B36" s="2">
        <f>COUNTIF(Votes!$E$2:$E$31,$A36)</f>
        <v>4</v>
      </c>
      <c r="C36" s="2">
        <f>SUMPRODUCT((Votes!$E$2:$E$31&lt;&gt;"")*(Key!$B$2:$B$31=$A36))</f>
        <v>4</v>
      </c>
      <c r="D36" s="2">
        <f>SUMPRODUCT((Votes!$E$2:$E$31&lt;&gt;"")*(((Key!$C$2:$C$31&lt;&gt;"")*(Votes!$E$2:$E$31=Key!$C$2:$C$31))*(Votes!$E$2:$E$31=$A36)+(1-((Key!$C$2:$C$31&lt;&gt;"")*(Votes!$E$2:$E$31=Key!$C$2:$C$31)))*(Key!$B$2:$B$31=$A36)))</f>
        <v>4</v>
      </c>
      <c r="E36" s="2">
        <f>COUNTIF(Votes!$F$2:$F$31,$A36)</f>
        <v>0</v>
      </c>
      <c r="F36" s="2">
        <f>SUMPRODUCT((Votes!$F$2:$F$31&lt;&gt;"")*(Key!$B$2:$B$31=$A36))</f>
        <v>0</v>
      </c>
      <c r="G36" s="2">
        <f>SUMPRODUCT((Votes!$F$2:$F$31&lt;&gt;"")*(((Key!$C$2:$C$31&lt;&gt;"")*(Votes!$F$2:$F$31=Key!$C$2:$C$31))*(Votes!$F$2:$F$31=$A36)+(1-((Key!$C$2:$C$31&lt;&gt;"")*(Votes!$F$2:$F$31=Key!$C$2:$C$31)))*(Key!$B$2:$B$31=$A36)))</f>
        <v>0</v>
      </c>
      <c r="H36" s="2">
        <f>COUNTIF(Votes!$G$2:$G$31,$A36)</f>
        <v>2</v>
      </c>
      <c r="I36" s="2">
        <f>SUMPRODUCT((Votes!$G$2:$G$31&lt;&gt;"")*(Key!$B$2:$B$31=$A36))</f>
        <v>4</v>
      </c>
      <c r="J36" s="2">
        <f>SUMPRODUCT((Votes!$G$2:$G$31&lt;&gt;"")*(((Key!$C$2:$C$31&lt;&gt;"")*(Votes!$G$2:$G$31=Key!$C$2:$C$31))*(Votes!$G$2:$G$31=$A36)+(1-((Key!$C$2:$C$31&lt;&gt;"")*(Votes!$G$2:$G$31=Key!$C$2:$C$31)))*(Key!$B$2:$B$31=$A36)))</f>
        <v>2</v>
      </c>
      <c r="K36" s="2">
        <f>COUNTIF(Votes!$H$2:$H$31,$A36)</f>
        <v>2</v>
      </c>
      <c r="L36" s="2">
        <f>SUMPRODUCT((Votes!$H$2:$H$31&lt;&gt;"")*(Key!$B$2:$B$31=$A36))</f>
        <v>4</v>
      </c>
      <c r="M36" s="2">
        <f>SUMPRODUCT((Votes!$H$2:$H$31&lt;&gt;"")*(((Key!$C$2:$C$31&lt;&gt;"")*(Votes!$H$2:$H$31=Key!$C$2:$C$31))*(Votes!$H$2:$H$31=$A36)+(1-((Key!$C$2:$C$31&lt;&gt;"")*(Votes!$H$2:$H$31=Key!$C$2:$C$31)))*(Key!$B$2:$B$31=$A36)))</f>
        <v>4</v>
      </c>
      <c r="N36" s="2">
        <f>COUNTIF(Votes!$I$2:$I$31,$A36)</f>
        <v>2</v>
      </c>
      <c r="O36" s="2">
        <f>SUMPRODUCT((Votes!$I$2:$I$31&lt;&gt;"")*(Key!$B$2:$B$31=$A36))</f>
        <v>4</v>
      </c>
      <c r="P36" s="2">
        <f>SUMPRODUCT((Votes!$I$2:$I$31&lt;&gt;"")*(((Key!$C$2:$C$31&lt;&gt;"")*(Votes!$I$2:$I$31=Key!$C$2:$C$31))*(Votes!$I$2:$I$31=$A36)+(1-((Key!$C$2:$C$31&lt;&gt;"")*(Votes!$I$2:$I$31=Key!$C$2:$C$31)))*(Key!$B$2:$B$31=$A36)))</f>
        <v>4</v>
      </c>
      <c r="Q36" s="2">
        <f>COUNTIF(Votes!$J$2:$J$31,$A36)</f>
        <v>4</v>
      </c>
      <c r="R36" s="2">
        <f>SUMPRODUCT((Votes!$J$2:$J$31&lt;&gt;"")*(Key!$B$2:$B$31=$A36))</f>
        <v>4</v>
      </c>
      <c r="S36" s="2">
        <f>SUMPRODUCT((Votes!$J$2:$J$31&lt;&gt;"")*(((Key!$C$2:$C$31&lt;&gt;"")*(Votes!$J$2:$J$31=Key!$C$2:$C$31))*(Votes!$J$2:$J$31=$A36)+(1-((Key!$C$2:$C$31&lt;&gt;"")*(Votes!$J$2:$J$31=Key!$C$2:$C$31)))*(Key!$B$2:$B$31=$A36)))</f>
        <v>4</v>
      </c>
      <c r="T36" s="2">
        <f>COUNTIF(Votes!$K$2:$K$31,$A36)</f>
        <v>4</v>
      </c>
      <c r="U36" s="2">
        <f>SUMPRODUCT((Votes!$K$2:$K$31&lt;&gt;"")*(Key!$B$2:$B$31=$A36))</f>
        <v>4</v>
      </c>
      <c r="V36" s="2">
        <f>SUMPRODUCT((Votes!$K$2:$K$31&lt;&gt;"")*(((Key!$C$2:$C$31&lt;&gt;"")*(Votes!$K$2:$K$31=Key!$C$2:$C$31))*(Votes!$K$2:$K$31=$A36)+(1-((Key!$C$2:$C$31&lt;&gt;"")*(Votes!$K$2:$K$31=Key!$C$2:$C$31)))*(Key!$B$2:$B$31=$A36)))</f>
        <v>4</v>
      </c>
      <c r="W36" s="2">
        <f>COUNTIF(Votes!$L$2:$L$31,$A36)</f>
        <v>6</v>
      </c>
      <c r="X36" s="2">
        <f>SUMPRODUCT((Votes!$L$2:$L$31&lt;&gt;"")*(Key!$B$2:$B$31=$A36))</f>
        <v>4</v>
      </c>
      <c r="Y36" s="2">
        <f>SUMPRODUCT((Votes!$L$2:$L$31&lt;&gt;"")*(((Key!$C$2:$C$31&lt;&gt;"")*(Votes!$L$2:$L$31=Key!$C$2:$C$31))*(Votes!$L$2:$L$31=$A36)+(1-((Key!$C$2:$C$31&lt;&gt;"")*(Votes!$L$2:$L$31=Key!$C$2:$C$31)))*(Key!$B$2:$B$31=$A36)))</f>
        <v>4</v>
      </c>
    </row>
    <row r="37" ht="15.75" customHeight="1">
      <c r="A37" s="2" t="s">
        <v>15</v>
      </c>
      <c r="B37" s="2">
        <f>COUNTIF(Votes!$E$2:$E$31,$A37)</f>
        <v>2</v>
      </c>
      <c r="C37" s="2">
        <f>SUMPRODUCT((Votes!$E$2:$E$31&lt;&gt;"")*(Key!$B$2:$B$31=$A37))</f>
        <v>3</v>
      </c>
      <c r="D37" s="2">
        <f>SUMPRODUCT((Votes!$E$2:$E$31&lt;&gt;"")*(((Key!$C$2:$C$31&lt;&gt;"")*(Votes!$E$2:$E$31=Key!$C$2:$C$31))*(Votes!$E$2:$E$31=$A37)+(1-((Key!$C$2:$C$31&lt;&gt;"")*(Votes!$E$2:$E$31=Key!$C$2:$C$31)))*(Key!$B$2:$B$31=$A37)))</f>
        <v>3</v>
      </c>
      <c r="E37" s="2">
        <f>COUNTIF(Votes!$F$2:$F$31,$A37)</f>
        <v>0</v>
      </c>
      <c r="F37" s="2">
        <f>SUMPRODUCT((Votes!$F$2:$F$31&lt;&gt;"")*(Key!$B$2:$B$31=$A37))</f>
        <v>0</v>
      </c>
      <c r="G37" s="2">
        <f>SUMPRODUCT((Votes!$F$2:$F$31&lt;&gt;"")*(((Key!$C$2:$C$31&lt;&gt;"")*(Votes!$F$2:$F$31=Key!$C$2:$C$31))*(Votes!$F$2:$F$31=$A37)+(1-((Key!$C$2:$C$31&lt;&gt;"")*(Votes!$F$2:$F$31=Key!$C$2:$C$31)))*(Key!$B$2:$B$31=$A37)))</f>
        <v>0</v>
      </c>
      <c r="H37" s="2">
        <f>COUNTIF(Votes!$G$2:$G$31,$A37)</f>
        <v>4</v>
      </c>
      <c r="I37" s="2">
        <f>SUMPRODUCT((Votes!$G$2:$G$31&lt;&gt;"")*(Key!$B$2:$B$31=$A37))</f>
        <v>3</v>
      </c>
      <c r="J37" s="2">
        <f>SUMPRODUCT((Votes!$G$2:$G$31&lt;&gt;"")*(((Key!$C$2:$C$31&lt;&gt;"")*(Votes!$G$2:$G$31=Key!$C$2:$C$31))*(Votes!$G$2:$G$31=$A37)+(1-((Key!$C$2:$C$31&lt;&gt;"")*(Votes!$G$2:$G$31=Key!$C$2:$C$31)))*(Key!$B$2:$B$31=$A37)))</f>
        <v>4</v>
      </c>
      <c r="K37" s="2">
        <f>COUNTIF(Votes!$H$2:$H$31,$A37)</f>
        <v>5</v>
      </c>
      <c r="L37" s="2">
        <f>SUMPRODUCT((Votes!$H$2:$H$31&lt;&gt;"")*(Key!$B$2:$B$31=$A37))</f>
        <v>3</v>
      </c>
      <c r="M37" s="2">
        <f>SUMPRODUCT((Votes!$H$2:$H$31&lt;&gt;"")*(((Key!$C$2:$C$31&lt;&gt;"")*(Votes!$H$2:$H$31=Key!$C$2:$C$31))*(Votes!$H$2:$H$31=$A37)+(1-((Key!$C$2:$C$31&lt;&gt;"")*(Votes!$H$2:$H$31=Key!$C$2:$C$31)))*(Key!$B$2:$B$31=$A37)))</f>
        <v>4</v>
      </c>
      <c r="N37" s="2">
        <f>COUNTIF(Votes!$I$2:$I$31,$A37)</f>
        <v>3</v>
      </c>
      <c r="O37" s="2">
        <f>SUMPRODUCT((Votes!$I$2:$I$31&lt;&gt;"")*(Key!$B$2:$B$31=$A37))</f>
        <v>3</v>
      </c>
      <c r="P37" s="2">
        <f>SUMPRODUCT((Votes!$I$2:$I$31&lt;&gt;"")*(((Key!$C$2:$C$31&lt;&gt;"")*(Votes!$I$2:$I$31=Key!$C$2:$C$31))*(Votes!$I$2:$I$31=$A37)+(1-((Key!$C$2:$C$31&lt;&gt;"")*(Votes!$I$2:$I$31=Key!$C$2:$C$31)))*(Key!$B$2:$B$31=$A37)))</f>
        <v>3</v>
      </c>
      <c r="Q37" s="2">
        <f>COUNTIF(Votes!$J$2:$J$31,$A37)</f>
        <v>4</v>
      </c>
      <c r="R37" s="2">
        <f>SUMPRODUCT((Votes!$J$2:$J$31&lt;&gt;"")*(Key!$B$2:$B$31=$A37))</f>
        <v>3</v>
      </c>
      <c r="S37" s="2">
        <f>SUMPRODUCT((Votes!$J$2:$J$31&lt;&gt;"")*(((Key!$C$2:$C$31&lt;&gt;"")*(Votes!$J$2:$J$31=Key!$C$2:$C$31))*(Votes!$J$2:$J$31=$A37)+(1-((Key!$C$2:$C$31&lt;&gt;"")*(Votes!$J$2:$J$31=Key!$C$2:$C$31)))*(Key!$B$2:$B$31=$A37)))</f>
        <v>4</v>
      </c>
      <c r="T37" s="2">
        <f>COUNTIF(Votes!$K$2:$K$31,$A37)</f>
        <v>3</v>
      </c>
      <c r="U37" s="2">
        <f>SUMPRODUCT((Votes!$K$2:$K$31&lt;&gt;"")*(Key!$B$2:$B$31=$A37))</f>
        <v>3</v>
      </c>
      <c r="V37" s="2">
        <f>SUMPRODUCT((Votes!$K$2:$K$31&lt;&gt;"")*(((Key!$C$2:$C$31&lt;&gt;"")*(Votes!$K$2:$K$31=Key!$C$2:$C$31))*(Votes!$K$2:$K$31=$A37)+(1-((Key!$C$2:$C$31&lt;&gt;"")*(Votes!$K$2:$K$31=Key!$C$2:$C$31)))*(Key!$B$2:$B$31=$A37)))</f>
        <v>3</v>
      </c>
      <c r="W37" s="2">
        <f>COUNTIF(Votes!$L$2:$L$31,$A37)</f>
        <v>2</v>
      </c>
      <c r="X37" s="2">
        <f>SUMPRODUCT((Votes!$L$2:$L$31&lt;&gt;"")*(Key!$B$2:$B$31=$A37))</f>
        <v>3</v>
      </c>
      <c r="Y37" s="2">
        <f>SUMPRODUCT((Votes!$L$2:$L$31&lt;&gt;"")*(((Key!$C$2:$C$31&lt;&gt;"")*(Votes!$L$2:$L$31=Key!$C$2:$C$31))*(Votes!$L$2:$L$31=$A37)+(1-((Key!$C$2:$C$31&lt;&gt;"")*(Votes!$L$2:$L$31=Key!$C$2:$C$31)))*(Key!$B$2:$B$31=$A37)))</f>
        <v>3</v>
      </c>
    </row>
    <row r="38" ht="15.75" customHeight="1">
      <c r="A38" s="2" t="s">
        <v>53</v>
      </c>
      <c r="B38" s="2">
        <f>COUNTIF(Votes!$E$2:$E$31,$A38)</f>
        <v>4</v>
      </c>
      <c r="C38" s="2">
        <f>SUMPRODUCT((Votes!$E$2:$E$31&lt;&gt;"")*(Key!$B$2:$B$31=$A38))</f>
        <v>5</v>
      </c>
      <c r="D38" s="2">
        <f>SUMPRODUCT((Votes!$E$2:$E$31&lt;&gt;"")*(((Key!$C$2:$C$31&lt;&gt;"")*(Votes!$E$2:$E$31=Key!$C$2:$C$31))*(Votes!$E$2:$E$31=$A38)+(1-((Key!$C$2:$C$31&lt;&gt;"")*(Votes!$E$2:$E$31=Key!$C$2:$C$31)))*(Key!$B$2:$B$31=$A38)))</f>
        <v>4</v>
      </c>
      <c r="E38" s="2">
        <f>COUNTIF(Votes!$F$2:$F$31,$A38)</f>
        <v>0</v>
      </c>
      <c r="F38" s="2">
        <f>SUMPRODUCT((Votes!$F$2:$F$31&lt;&gt;"")*(Key!$B$2:$B$31=$A38))</f>
        <v>0</v>
      </c>
      <c r="G38" s="2">
        <f>SUMPRODUCT((Votes!$F$2:$F$31&lt;&gt;"")*(((Key!$C$2:$C$31&lt;&gt;"")*(Votes!$F$2:$F$31=Key!$C$2:$C$31))*(Votes!$F$2:$F$31=$A38)+(1-((Key!$C$2:$C$31&lt;&gt;"")*(Votes!$F$2:$F$31=Key!$C$2:$C$31)))*(Key!$B$2:$B$31=$A38)))</f>
        <v>0</v>
      </c>
      <c r="H38" s="2">
        <f>COUNTIF(Votes!$G$2:$G$31,$A38)</f>
        <v>4</v>
      </c>
      <c r="I38" s="2">
        <f>SUMPRODUCT((Votes!$G$2:$G$31&lt;&gt;"")*(Key!$B$2:$B$31=$A38))</f>
        <v>5</v>
      </c>
      <c r="J38" s="2">
        <f>SUMPRODUCT((Votes!$G$2:$G$31&lt;&gt;"")*(((Key!$C$2:$C$31&lt;&gt;"")*(Votes!$G$2:$G$31=Key!$C$2:$C$31))*(Votes!$G$2:$G$31=$A38)+(1-((Key!$C$2:$C$31&lt;&gt;"")*(Votes!$G$2:$G$31=Key!$C$2:$C$31)))*(Key!$B$2:$B$31=$A38)))</f>
        <v>4</v>
      </c>
      <c r="K38" s="2">
        <f>COUNTIF(Votes!$H$2:$H$31,$A38)</f>
        <v>5</v>
      </c>
      <c r="L38" s="2">
        <f>SUMPRODUCT((Votes!$H$2:$H$31&lt;&gt;"")*(Key!$B$2:$B$31=$A38))</f>
        <v>5</v>
      </c>
      <c r="M38" s="2">
        <f>SUMPRODUCT((Votes!$H$2:$H$31&lt;&gt;"")*(((Key!$C$2:$C$31&lt;&gt;"")*(Votes!$H$2:$H$31=Key!$C$2:$C$31))*(Votes!$H$2:$H$31=$A38)+(1-((Key!$C$2:$C$31&lt;&gt;"")*(Votes!$H$2:$H$31=Key!$C$2:$C$31)))*(Key!$B$2:$B$31=$A38)))</f>
        <v>5</v>
      </c>
      <c r="N38" s="2">
        <f>COUNTIF(Votes!$I$2:$I$31,$A38)</f>
        <v>3</v>
      </c>
      <c r="O38" s="2">
        <f>SUMPRODUCT((Votes!$I$2:$I$31&lt;&gt;"")*(Key!$B$2:$B$31=$A38))</f>
        <v>5</v>
      </c>
      <c r="P38" s="2">
        <f>SUMPRODUCT((Votes!$I$2:$I$31&lt;&gt;"")*(((Key!$C$2:$C$31&lt;&gt;"")*(Votes!$I$2:$I$31=Key!$C$2:$C$31))*(Votes!$I$2:$I$31=$A38)+(1-((Key!$C$2:$C$31&lt;&gt;"")*(Votes!$I$2:$I$31=Key!$C$2:$C$31)))*(Key!$B$2:$B$31=$A38)))</f>
        <v>5</v>
      </c>
      <c r="Q38" s="2">
        <f>COUNTIF(Votes!$J$2:$J$31,$A38)</f>
        <v>5</v>
      </c>
      <c r="R38" s="2">
        <f>SUMPRODUCT((Votes!$J$2:$J$31&lt;&gt;"")*(Key!$B$2:$B$31=$A38))</f>
        <v>5</v>
      </c>
      <c r="S38" s="2">
        <f>SUMPRODUCT((Votes!$J$2:$J$31&lt;&gt;"")*(((Key!$C$2:$C$31&lt;&gt;"")*(Votes!$J$2:$J$31=Key!$C$2:$C$31))*(Votes!$J$2:$J$31=$A38)+(1-((Key!$C$2:$C$31&lt;&gt;"")*(Votes!$J$2:$J$31=Key!$C$2:$C$31)))*(Key!$B$2:$B$31=$A38)))</f>
        <v>5</v>
      </c>
      <c r="T38" s="2">
        <f>COUNTIF(Votes!$K$2:$K$31,$A38)</f>
        <v>1</v>
      </c>
      <c r="U38" s="2">
        <f>SUMPRODUCT((Votes!$K$2:$K$31&lt;&gt;"")*(Key!$B$2:$B$31=$A38))</f>
        <v>5</v>
      </c>
      <c r="V38" s="2">
        <f>SUMPRODUCT((Votes!$K$2:$K$31&lt;&gt;"")*(((Key!$C$2:$C$31&lt;&gt;"")*(Votes!$K$2:$K$31=Key!$C$2:$C$31))*(Votes!$K$2:$K$31=$A38)+(1-((Key!$C$2:$C$31&lt;&gt;"")*(Votes!$K$2:$K$31=Key!$C$2:$C$31)))*(Key!$B$2:$B$31=$A38)))</f>
        <v>5</v>
      </c>
      <c r="W38" s="2">
        <f>COUNTIF(Votes!$L$2:$L$31,$A38)</f>
        <v>1</v>
      </c>
      <c r="X38" s="2">
        <f>SUMPRODUCT((Votes!$L$2:$L$31&lt;&gt;"")*(Key!$B$2:$B$31=$A38))</f>
        <v>5</v>
      </c>
      <c r="Y38" s="2">
        <f>SUMPRODUCT((Votes!$L$2:$L$31&lt;&gt;"")*(((Key!$C$2:$C$31&lt;&gt;"")*(Votes!$L$2:$L$31=Key!$C$2:$C$31))*(Votes!$L$2:$L$31=$A38)+(1-((Key!$C$2:$C$31&lt;&gt;"")*(Votes!$L$2:$L$31=Key!$C$2:$C$31)))*(Key!$B$2:$B$31=$A38)))</f>
        <v>5</v>
      </c>
    </row>
    <row r="39" ht="15.75" customHeight="1">
      <c r="A39" s="2" t="s">
        <v>69</v>
      </c>
      <c r="B39" s="2">
        <f>COUNTIF(Votes!$E$2:$E$31,$A39)</f>
        <v>2</v>
      </c>
      <c r="C39" s="2">
        <f>SUMPRODUCT((Votes!$E$2:$E$31&lt;&gt;"")*(Key!$B$2:$B$31=$A39))</f>
        <v>3</v>
      </c>
      <c r="D39" s="2">
        <f>SUMPRODUCT((Votes!$E$2:$E$31&lt;&gt;"")*(((Key!$C$2:$C$31&lt;&gt;"")*(Votes!$E$2:$E$31=Key!$C$2:$C$31))*(Votes!$E$2:$E$31=$A39)+(1-((Key!$C$2:$C$31&lt;&gt;"")*(Votes!$E$2:$E$31=Key!$C$2:$C$31)))*(Key!$B$2:$B$31=$A39)))</f>
        <v>2</v>
      </c>
      <c r="E39" s="2">
        <f>COUNTIF(Votes!$F$2:$F$31,$A39)</f>
        <v>0</v>
      </c>
      <c r="F39" s="2">
        <f>SUMPRODUCT((Votes!$F$2:$F$31&lt;&gt;"")*(Key!$B$2:$B$31=$A39))</f>
        <v>0</v>
      </c>
      <c r="G39" s="2">
        <f>SUMPRODUCT((Votes!$F$2:$F$31&lt;&gt;"")*(((Key!$C$2:$C$31&lt;&gt;"")*(Votes!$F$2:$F$31=Key!$C$2:$C$31))*(Votes!$F$2:$F$31=$A39)+(1-((Key!$C$2:$C$31&lt;&gt;"")*(Votes!$F$2:$F$31=Key!$C$2:$C$31)))*(Key!$B$2:$B$31=$A39)))</f>
        <v>0</v>
      </c>
      <c r="H39" s="2">
        <f>COUNTIF(Votes!$G$2:$G$31,$A39)</f>
        <v>2</v>
      </c>
      <c r="I39" s="2">
        <f>SUMPRODUCT((Votes!$G$2:$G$31&lt;&gt;"")*(Key!$B$2:$B$31=$A39))</f>
        <v>3</v>
      </c>
      <c r="J39" s="2">
        <f>SUMPRODUCT((Votes!$G$2:$G$31&lt;&gt;"")*(((Key!$C$2:$C$31&lt;&gt;"")*(Votes!$G$2:$G$31=Key!$C$2:$C$31))*(Votes!$G$2:$G$31=$A39)+(1-((Key!$C$2:$C$31&lt;&gt;"")*(Votes!$G$2:$G$31=Key!$C$2:$C$31)))*(Key!$B$2:$B$31=$A39)))</f>
        <v>2</v>
      </c>
      <c r="K39" s="2">
        <f>COUNTIF(Votes!$H$2:$H$31,$A39)</f>
        <v>2</v>
      </c>
      <c r="L39" s="2">
        <f>SUMPRODUCT((Votes!$H$2:$H$31&lt;&gt;"")*(Key!$B$2:$B$31=$A39))</f>
        <v>3</v>
      </c>
      <c r="M39" s="2">
        <f>SUMPRODUCT((Votes!$H$2:$H$31&lt;&gt;"")*(((Key!$C$2:$C$31&lt;&gt;"")*(Votes!$H$2:$H$31=Key!$C$2:$C$31))*(Votes!$H$2:$H$31=$A39)+(1-((Key!$C$2:$C$31&lt;&gt;"")*(Votes!$H$2:$H$31=Key!$C$2:$C$31)))*(Key!$B$2:$B$31=$A39)))</f>
        <v>3</v>
      </c>
      <c r="N39" s="2">
        <f>COUNTIF(Votes!$I$2:$I$31,$A39)</f>
        <v>2</v>
      </c>
      <c r="O39" s="2">
        <f>SUMPRODUCT((Votes!$I$2:$I$31&lt;&gt;"")*(Key!$B$2:$B$31=$A39))</f>
        <v>3</v>
      </c>
      <c r="P39" s="2">
        <f>SUMPRODUCT((Votes!$I$2:$I$31&lt;&gt;"")*(((Key!$C$2:$C$31&lt;&gt;"")*(Votes!$I$2:$I$31=Key!$C$2:$C$31))*(Votes!$I$2:$I$31=$A39)+(1-((Key!$C$2:$C$31&lt;&gt;"")*(Votes!$I$2:$I$31=Key!$C$2:$C$31)))*(Key!$B$2:$B$31=$A39)))</f>
        <v>2</v>
      </c>
      <c r="Q39" s="2">
        <f>COUNTIF(Votes!$J$2:$J$31,$A39)</f>
        <v>3</v>
      </c>
      <c r="R39" s="2">
        <f>SUMPRODUCT((Votes!$J$2:$J$31&lt;&gt;"")*(Key!$B$2:$B$31=$A39))</f>
        <v>2</v>
      </c>
      <c r="S39" s="2">
        <f>SUMPRODUCT((Votes!$J$2:$J$31&lt;&gt;"")*(((Key!$C$2:$C$31&lt;&gt;"")*(Votes!$J$2:$J$31=Key!$C$2:$C$31))*(Votes!$J$2:$J$31=$A39)+(1-((Key!$C$2:$C$31&lt;&gt;"")*(Votes!$J$2:$J$31=Key!$C$2:$C$31)))*(Key!$B$2:$B$31=$A39)))</f>
        <v>2</v>
      </c>
      <c r="T39" s="2">
        <f>COUNTIF(Votes!$K$2:$K$31,$A39)</f>
        <v>2</v>
      </c>
      <c r="U39" s="2">
        <f>SUMPRODUCT((Votes!$K$2:$K$31&lt;&gt;"")*(Key!$B$2:$B$31=$A39))</f>
        <v>3</v>
      </c>
      <c r="V39" s="2">
        <f>SUMPRODUCT((Votes!$K$2:$K$31&lt;&gt;"")*(((Key!$C$2:$C$31&lt;&gt;"")*(Votes!$K$2:$K$31=Key!$C$2:$C$31))*(Votes!$K$2:$K$31=$A39)+(1-((Key!$C$2:$C$31&lt;&gt;"")*(Votes!$K$2:$K$31=Key!$C$2:$C$31)))*(Key!$B$2:$B$31=$A39)))</f>
        <v>2</v>
      </c>
      <c r="W39" s="2">
        <f>COUNTIF(Votes!$L$2:$L$31,$A39)</f>
        <v>4</v>
      </c>
      <c r="X39" s="2">
        <f>SUMPRODUCT((Votes!$L$2:$L$31&lt;&gt;"")*(Key!$B$2:$B$31=$A39))</f>
        <v>3</v>
      </c>
      <c r="Y39" s="2">
        <f>SUMPRODUCT((Votes!$L$2:$L$31&lt;&gt;"")*(((Key!$C$2:$C$31&lt;&gt;"")*(Votes!$L$2:$L$31=Key!$C$2:$C$31))*(Votes!$L$2:$L$31=$A39)+(1-((Key!$C$2:$C$31&lt;&gt;"")*(Votes!$L$2:$L$31=Key!$C$2:$C$31)))*(Key!$B$2:$B$31=$A39)))</f>
        <v>2</v>
      </c>
    </row>
    <row r="40" ht="15.75" customHeight="1">
      <c r="A40" s="2" t="s">
        <v>23</v>
      </c>
      <c r="B40" s="2">
        <f>COUNTIF(Votes!$E$2:$E$31,$A40)</f>
        <v>3</v>
      </c>
      <c r="C40" s="2">
        <f>SUMPRODUCT((Votes!$E$2:$E$31&lt;&gt;"")*(Key!$B$2:$B$31=$A40))</f>
        <v>3</v>
      </c>
      <c r="D40" s="2">
        <f>SUMPRODUCT((Votes!$E$2:$E$31&lt;&gt;"")*(((Key!$C$2:$C$31&lt;&gt;"")*(Votes!$E$2:$E$31=Key!$C$2:$C$31))*(Votes!$E$2:$E$31=$A40)+(1-((Key!$C$2:$C$31&lt;&gt;"")*(Votes!$E$2:$E$31=Key!$C$2:$C$31)))*(Key!$B$2:$B$31=$A40)))</f>
        <v>3</v>
      </c>
      <c r="E40" s="2">
        <f>COUNTIF(Votes!$F$2:$F$31,$A40)</f>
        <v>0</v>
      </c>
      <c r="F40" s="2">
        <f>SUMPRODUCT((Votes!$F$2:$F$31&lt;&gt;"")*(Key!$B$2:$B$31=$A40))</f>
        <v>0</v>
      </c>
      <c r="G40" s="2">
        <f>SUMPRODUCT((Votes!$F$2:$F$31&lt;&gt;"")*(((Key!$C$2:$C$31&lt;&gt;"")*(Votes!$F$2:$F$31=Key!$C$2:$C$31))*(Votes!$F$2:$F$31=$A40)+(1-((Key!$C$2:$C$31&lt;&gt;"")*(Votes!$F$2:$F$31=Key!$C$2:$C$31)))*(Key!$B$2:$B$31=$A40)))</f>
        <v>0</v>
      </c>
      <c r="H40" s="2">
        <f>COUNTIF(Votes!$G$2:$G$31,$A40)</f>
        <v>3</v>
      </c>
      <c r="I40" s="2">
        <f>SUMPRODUCT((Votes!$G$2:$G$31&lt;&gt;"")*(Key!$B$2:$B$31=$A40))</f>
        <v>3</v>
      </c>
      <c r="J40" s="2">
        <f>SUMPRODUCT((Votes!$G$2:$G$31&lt;&gt;"")*(((Key!$C$2:$C$31&lt;&gt;"")*(Votes!$G$2:$G$31=Key!$C$2:$C$31))*(Votes!$G$2:$G$31=$A40)+(1-((Key!$C$2:$C$31&lt;&gt;"")*(Votes!$G$2:$G$31=Key!$C$2:$C$31)))*(Key!$B$2:$B$31=$A40)))</f>
        <v>3</v>
      </c>
      <c r="K40" s="2">
        <f>COUNTIF(Votes!$H$2:$H$31,$A40)</f>
        <v>4</v>
      </c>
      <c r="L40" s="2">
        <f>SUMPRODUCT((Votes!$H$2:$H$31&lt;&gt;"")*(Key!$B$2:$B$31=$A40))</f>
        <v>3</v>
      </c>
      <c r="M40" s="2">
        <f>SUMPRODUCT((Votes!$H$2:$H$31&lt;&gt;"")*(((Key!$C$2:$C$31&lt;&gt;"")*(Votes!$H$2:$H$31=Key!$C$2:$C$31))*(Votes!$H$2:$H$31=$A40)+(1-((Key!$C$2:$C$31&lt;&gt;"")*(Votes!$H$2:$H$31=Key!$C$2:$C$31)))*(Key!$B$2:$B$31=$A40)))</f>
        <v>3</v>
      </c>
      <c r="N40" s="2">
        <f>COUNTIF(Votes!$I$2:$I$31,$A40)</f>
        <v>3</v>
      </c>
      <c r="O40" s="2">
        <f>SUMPRODUCT((Votes!$I$2:$I$31&lt;&gt;"")*(Key!$B$2:$B$31=$A40))</f>
        <v>3</v>
      </c>
      <c r="P40" s="2">
        <f>SUMPRODUCT((Votes!$I$2:$I$31&lt;&gt;"")*(((Key!$C$2:$C$31&lt;&gt;"")*(Votes!$I$2:$I$31=Key!$C$2:$C$31))*(Votes!$I$2:$I$31=$A40)+(1-((Key!$C$2:$C$31&lt;&gt;"")*(Votes!$I$2:$I$31=Key!$C$2:$C$31)))*(Key!$B$2:$B$31=$A40)))</f>
        <v>3</v>
      </c>
      <c r="Q40" s="2">
        <f>COUNTIF(Votes!$J$2:$J$31,$A40)</f>
        <v>2</v>
      </c>
      <c r="R40" s="2">
        <f>SUMPRODUCT((Votes!$J$2:$J$31&lt;&gt;"")*(Key!$B$2:$B$31=$A40))</f>
        <v>2</v>
      </c>
      <c r="S40" s="2">
        <f>SUMPRODUCT((Votes!$J$2:$J$31&lt;&gt;"")*(((Key!$C$2:$C$31&lt;&gt;"")*(Votes!$J$2:$J$31=Key!$C$2:$C$31))*(Votes!$J$2:$J$31=$A40)+(1-((Key!$C$2:$C$31&lt;&gt;"")*(Votes!$J$2:$J$31=Key!$C$2:$C$31)))*(Key!$B$2:$B$31=$A40)))</f>
        <v>2</v>
      </c>
      <c r="T40" s="2">
        <f>COUNTIF(Votes!$K$2:$K$31,$A40)</f>
        <v>3</v>
      </c>
      <c r="U40" s="2">
        <f>SUMPRODUCT((Votes!$K$2:$K$31&lt;&gt;"")*(Key!$B$2:$B$31=$A40))</f>
        <v>3</v>
      </c>
      <c r="V40" s="2">
        <f>SUMPRODUCT((Votes!$K$2:$K$31&lt;&gt;"")*(((Key!$C$2:$C$31&lt;&gt;"")*(Votes!$K$2:$K$31=Key!$C$2:$C$31))*(Votes!$K$2:$K$31=$A40)+(1-((Key!$C$2:$C$31&lt;&gt;"")*(Votes!$K$2:$K$31=Key!$C$2:$C$31)))*(Key!$B$2:$B$31=$A40)))</f>
        <v>3</v>
      </c>
      <c r="W40" s="2">
        <f>COUNTIF(Votes!$L$2:$L$31,$A40)</f>
        <v>3</v>
      </c>
      <c r="X40" s="2">
        <f>SUMPRODUCT((Votes!$L$2:$L$31&lt;&gt;"")*(Key!$B$2:$B$31=$A40))</f>
        <v>3</v>
      </c>
      <c r="Y40" s="2">
        <f>SUMPRODUCT((Votes!$L$2:$L$31&lt;&gt;"")*(((Key!$C$2:$C$31&lt;&gt;"")*(Votes!$L$2:$L$31=Key!$C$2:$C$31))*(Votes!$L$2:$L$31=$A40)+(1-((Key!$C$2:$C$31&lt;&gt;"")*(Votes!$L$2:$L$31=Key!$C$2:$C$31)))*(Key!$B$2:$B$31=$A40)))</f>
        <v>3</v>
      </c>
    </row>
    <row r="41" ht="15.75" customHeight="1">
      <c r="A41" s="2" t="s">
        <v>357</v>
      </c>
      <c r="B41" s="2">
        <f>COUNTIF(Votes!$E$2:$E$31,$A41)</f>
        <v>0</v>
      </c>
      <c r="C41" s="2">
        <f>SUMPRODUCT((Votes!$E$2:$E$31&lt;&gt;"")*(Key!$B$2:$B$31=$A41))</f>
        <v>0</v>
      </c>
      <c r="D41" s="2">
        <f>SUMPRODUCT((Votes!$E$2:$E$31&lt;&gt;"")*(((Key!$C$2:$C$31&lt;&gt;"")*(Votes!$E$2:$E$31=Key!$C$2:$C$31))*(Votes!$E$2:$E$31=$A41)+(1-((Key!$C$2:$C$31&lt;&gt;"")*(Votes!$E$2:$E$31=Key!$C$2:$C$31)))*(Key!$B$2:$B$31=$A41)))</f>
        <v>0</v>
      </c>
      <c r="E41" s="2">
        <f>COUNTIF(Votes!$F$2:$F$31,$A41)</f>
        <v>0</v>
      </c>
      <c r="F41" s="2">
        <f>SUMPRODUCT((Votes!$F$2:$F$31&lt;&gt;"")*(Key!$B$2:$B$31=$A41))</f>
        <v>0</v>
      </c>
      <c r="G41" s="2">
        <f>SUMPRODUCT((Votes!$F$2:$F$31&lt;&gt;"")*(((Key!$C$2:$C$31&lt;&gt;"")*(Votes!$F$2:$F$31=Key!$C$2:$C$31))*(Votes!$F$2:$F$31=$A41)+(1-((Key!$C$2:$C$31&lt;&gt;"")*(Votes!$F$2:$F$31=Key!$C$2:$C$31)))*(Key!$B$2:$B$31=$A41)))</f>
        <v>0</v>
      </c>
      <c r="H41" s="2">
        <f>COUNTIF(Votes!$G$2:$G$31,$A41)</f>
        <v>0</v>
      </c>
      <c r="I41" s="2">
        <f>SUMPRODUCT((Votes!$G$2:$G$31&lt;&gt;"")*(Key!$B$2:$B$31=$A41))</f>
        <v>0</v>
      </c>
      <c r="J41" s="2">
        <f>SUMPRODUCT((Votes!$G$2:$G$31&lt;&gt;"")*(((Key!$C$2:$C$31&lt;&gt;"")*(Votes!$G$2:$G$31=Key!$C$2:$C$31))*(Votes!$G$2:$G$31=$A41)+(1-((Key!$C$2:$C$31&lt;&gt;"")*(Votes!$G$2:$G$31=Key!$C$2:$C$31)))*(Key!$B$2:$B$31=$A41)))</f>
        <v>0</v>
      </c>
      <c r="K41" s="2">
        <f>COUNTIF(Votes!$H$2:$H$31,$A41)</f>
        <v>0</v>
      </c>
      <c r="L41" s="2">
        <f>SUMPRODUCT((Votes!$H$2:$H$31&lt;&gt;"")*(Key!$B$2:$B$31=$A41))</f>
        <v>0</v>
      </c>
      <c r="M41" s="2">
        <f>SUMPRODUCT((Votes!$H$2:$H$31&lt;&gt;"")*(((Key!$C$2:$C$31&lt;&gt;"")*(Votes!$H$2:$H$31=Key!$C$2:$C$31))*(Votes!$H$2:$H$31=$A41)+(1-((Key!$C$2:$C$31&lt;&gt;"")*(Votes!$H$2:$H$31=Key!$C$2:$C$31)))*(Key!$B$2:$B$31=$A41)))</f>
        <v>0</v>
      </c>
      <c r="N41" s="2">
        <f>COUNTIF(Votes!$I$2:$I$31,$A41)</f>
        <v>0</v>
      </c>
      <c r="O41" s="2">
        <f>SUMPRODUCT((Votes!$I$2:$I$31&lt;&gt;"")*(Key!$B$2:$B$31=$A41))</f>
        <v>0</v>
      </c>
      <c r="P41" s="2">
        <f>SUMPRODUCT((Votes!$I$2:$I$31&lt;&gt;"")*(((Key!$C$2:$C$31&lt;&gt;"")*(Votes!$I$2:$I$31=Key!$C$2:$C$31))*(Votes!$I$2:$I$31=$A41)+(1-((Key!$C$2:$C$31&lt;&gt;"")*(Votes!$I$2:$I$31=Key!$C$2:$C$31)))*(Key!$B$2:$B$31=$A41)))</f>
        <v>0</v>
      </c>
      <c r="Q41" s="2">
        <f>COUNTIF(Votes!$J$2:$J$31,$A41)</f>
        <v>0</v>
      </c>
      <c r="R41" s="2">
        <f>SUMPRODUCT((Votes!$J$2:$J$31&lt;&gt;"")*(Key!$B$2:$B$31=$A41))</f>
        <v>0</v>
      </c>
      <c r="S41" s="2">
        <f>SUMPRODUCT((Votes!$J$2:$J$31&lt;&gt;"")*(((Key!$C$2:$C$31&lt;&gt;"")*(Votes!$J$2:$J$31=Key!$C$2:$C$31))*(Votes!$J$2:$J$31=$A41)+(1-((Key!$C$2:$C$31&lt;&gt;"")*(Votes!$J$2:$J$31=Key!$C$2:$C$31)))*(Key!$B$2:$B$31=$A41)))</f>
        <v>0</v>
      </c>
      <c r="T41" s="2">
        <f>COUNTIF(Votes!$K$2:$K$31,$A41)</f>
        <v>0</v>
      </c>
      <c r="U41" s="2">
        <f>SUMPRODUCT((Votes!$K$2:$K$31&lt;&gt;"")*(Key!$B$2:$B$31=$A41))</f>
        <v>0</v>
      </c>
      <c r="V41" s="2">
        <f>SUMPRODUCT((Votes!$K$2:$K$31&lt;&gt;"")*(((Key!$C$2:$C$31&lt;&gt;"")*(Votes!$K$2:$K$31=Key!$C$2:$C$31))*(Votes!$K$2:$K$31=$A41)+(1-((Key!$C$2:$C$31&lt;&gt;"")*(Votes!$K$2:$K$31=Key!$C$2:$C$31)))*(Key!$B$2:$B$31=$A41)))</f>
        <v>0</v>
      </c>
      <c r="W41" s="2">
        <f>COUNTIF(Votes!$L$2:$L$31,$A41)</f>
        <v>0</v>
      </c>
      <c r="X41" s="2">
        <f>SUMPRODUCT((Votes!$L$2:$L$31&lt;&gt;"")*(Key!$B$2:$B$31=$A41))</f>
        <v>0</v>
      </c>
      <c r="Y41" s="2">
        <f>SUMPRODUCT((Votes!$L$2:$L$31&lt;&gt;"")*(((Key!$C$2:$C$31&lt;&gt;"")*(Votes!$L$2:$L$31=Key!$C$2:$C$31))*(Votes!$L$2:$L$31=$A41)+(1-((Key!$C$2:$C$31&lt;&gt;"")*(Votes!$L$2:$L$31=Key!$C$2:$C$31)))*(Key!$B$2:$B$31=$A41)))</f>
        <v>0</v>
      </c>
    </row>
    <row r="42" ht="15.75" customHeight="1"/>
    <row r="43" ht="15.75" customHeight="1"/>
    <row r="44" ht="15.75" customHeight="1">
      <c r="A44" s="20" t="s">
        <v>358</v>
      </c>
    </row>
    <row r="45" ht="15.75" customHeight="1">
      <c r="A45" s="39" t="s">
        <v>0</v>
      </c>
      <c r="B45" s="39" t="s">
        <v>33</v>
      </c>
      <c r="C45" s="39" t="s">
        <v>30</v>
      </c>
      <c r="D45" s="39" t="s">
        <v>12</v>
      </c>
      <c r="E45" s="39" t="s">
        <v>45</v>
      </c>
      <c r="F45" s="39" t="s">
        <v>8</v>
      </c>
      <c r="G45" s="39" t="s">
        <v>15</v>
      </c>
      <c r="H45" s="39" t="s">
        <v>53</v>
      </c>
      <c r="I45" s="39" t="s">
        <v>69</v>
      </c>
      <c r="J45" s="39" t="s">
        <v>23</v>
      </c>
      <c r="K45" s="39" t="s">
        <v>357</v>
      </c>
      <c r="L45" s="39" t="s">
        <v>359</v>
      </c>
      <c r="M45" s="39" t="s">
        <v>360</v>
      </c>
      <c r="O45" s="40" t="s">
        <v>361</v>
      </c>
      <c r="P45" s="40" t="s">
        <v>362</v>
      </c>
      <c r="Q45" s="40" t="s">
        <v>363</v>
      </c>
      <c r="R45" s="41" t="s">
        <v>364</v>
      </c>
    </row>
    <row r="46" ht="15.75" customHeight="1">
      <c r="A46" s="2" t="str">
        <f>Votes!A2</f>
        <v>C01</v>
      </c>
      <c r="B46" s="2">
        <f>SUMPRODUCT((Votes!$E2:$L2=B$45)*$B$4:$I$4)</f>
        <v>1</v>
      </c>
      <c r="C46" s="2">
        <f>SUMPRODUCT((Votes!$E2:$L2=C$45)*$B$4:$I$4)</f>
        <v>0</v>
      </c>
      <c r="D46" s="2">
        <f>SUMPRODUCT((Votes!$E2:$L2=D$45)*$B$4:$I$4)</f>
        <v>1</v>
      </c>
      <c r="E46" s="2">
        <f>SUMPRODUCT((Votes!$E2:$L2=E$45)*$B$4:$I$4)</f>
        <v>0</v>
      </c>
      <c r="F46" s="2">
        <f>SUMPRODUCT((Votes!$E2:$L2=F$45)*$B$4:$I$4)</f>
        <v>5</v>
      </c>
      <c r="G46" s="2">
        <f>SUMPRODUCT((Votes!$E2:$L2=G$45)*$B$4:$I$4)</f>
        <v>0</v>
      </c>
      <c r="H46" s="2">
        <f>SUMPRODUCT((Votes!$E2:$L2=H$45)*$B$4:$I$4)</f>
        <v>0</v>
      </c>
      <c r="I46" s="2">
        <f>SUMPRODUCT((Votes!$E2:$L2=I$45)*$B$4:$I$4)</f>
        <v>0</v>
      </c>
      <c r="J46" s="2">
        <f>SUMPRODUCT((Votes!$E2:$L2=J$45)*$B$4:$I$4)</f>
        <v>0</v>
      </c>
      <c r="K46" s="2">
        <f>SUMPRODUCT((Votes!$E2:$L2=K$45)*$B$4:$I$4)</f>
        <v>0</v>
      </c>
      <c r="L46" s="2">
        <f t="shared" ref="L46:L75" si="5">SUM(B46:K46)</f>
        <v>7</v>
      </c>
      <c r="M46" s="30">
        <f t="shared" ref="M46:M75" si="6">IF(L46&lt;2,"",(SUMSQ(B46:K46)-L46)/(L46*(L46-1)))</f>
        <v>0.4761904762</v>
      </c>
      <c r="O46" s="42" t="s">
        <v>8</v>
      </c>
      <c r="P46" s="43">
        <v>1.0</v>
      </c>
      <c r="Q46" s="43">
        <v>1.0</v>
      </c>
      <c r="R46" s="44"/>
    </row>
    <row r="47" ht="15.75" customHeight="1">
      <c r="A47" s="2" t="str">
        <f>Votes!A3</f>
        <v>C02</v>
      </c>
      <c r="B47" s="2">
        <f>SUMPRODUCT((Votes!$E3:$L3=B$45)*$B$4:$I$4)</f>
        <v>0</v>
      </c>
      <c r="C47" s="2">
        <f>SUMPRODUCT((Votes!$E3:$L3=C$45)*$B$4:$I$4)</f>
        <v>0</v>
      </c>
      <c r="D47" s="2">
        <f>SUMPRODUCT((Votes!$E3:$L3=D$45)*$B$4:$I$4)</f>
        <v>4</v>
      </c>
      <c r="E47" s="2">
        <f>SUMPRODUCT((Votes!$E3:$L3=E$45)*$B$4:$I$4)</f>
        <v>0</v>
      </c>
      <c r="F47" s="2">
        <f>SUMPRODUCT((Votes!$E3:$L3=F$45)*$B$4:$I$4)</f>
        <v>0</v>
      </c>
      <c r="G47" s="2">
        <f>SUMPRODUCT((Votes!$E3:$L3=G$45)*$B$4:$I$4)</f>
        <v>3</v>
      </c>
      <c r="H47" s="2">
        <f>SUMPRODUCT((Votes!$E3:$L3=H$45)*$B$4:$I$4)</f>
        <v>0</v>
      </c>
      <c r="I47" s="2">
        <f>SUMPRODUCT((Votes!$E3:$L3=I$45)*$B$4:$I$4)</f>
        <v>0</v>
      </c>
      <c r="J47" s="2">
        <f>SUMPRODUCT((Votes!$E3:$L3=J$45)*$B$4:$I$4)</f>
        <v>0</v>
      </c>
      <c r="K47" s="2">
        <f>SUMPRODUCT((Votes!$E3:$L3=K$45)*$B$4:$I$4)</f>
        <v>0</v>
      </c>
      <c r="L47" s="2">
        <f t="shared" si="5"/>
        <v>7</v>
      </c>
      <c r="M47" s="30">
        <f t="shared" si="6"/>
        <v>0.4285714286</v>
      </c>
      <c r="O47" s="42" t="s">
        <v>12</v>
      </c>
      <c r="P47" s="43">
        <v>1.0</v>
      </c>
      <c r="Q47" s="43">
        <v>1.0</v>
      </c>
      <c r="R47" s="44"/>
    </row>
    <row r="48" ht="15.75" customHeight="1">
      <c r="A48" s="2" t="str">
        <f>Votes!A4</f>
        <v>C03</v>
      </c>
      <c r="B48" s="2">
        <f>SUMPRODUCT((Votes!$E4:$L4=B$45)*$B$4:$I$4)</f>
        <v>1</v>
      </c>
      <c r="C48" s="2">
        <f>SUMPRODUCT((Votes!$E4:$L4=C$45)*$B$4:$I$4)</f>
        <v>0</v>
      </c>
      <c r="D48" s="2">
        <f>SUMPRODUCT((Votes!$E4:$L4=D$45)*$B$4:$I$4)</f>
        <v>0</v>
      </c>
      <c r="E48" s="2">
        <f>SUMPRODUCT((Votes!$E4:$L4=E$45)*$B$4:$I$4)</f>
        <v>0</v>
      </c>
      <c r="F48" s="2">
        <f>SUMPRODUCT((Votes!$E4:$L4=F$45)*$B$4:$I$4)</f>
        <v>0</v>
      </c>
      <c r="G48" s="2">
        <f>SUMPRODUCT((Votes!$E4:$L4=G$45)*$B$4:$I$4)</f>
        <v>0</v>
      </c>
      <c r="H48" s="2">
        <f>SUMPRODUCT((Votes!$E4:$L4=H$45)*$B$4:$I$4)</f>
        <v>0</v>
      </c>
      <c r="I48" s="2">
        <f>SUMPRODUCT((Votes!$E4:$L4=I$45)*$B$4:$I$4)</f>
        <v>0</v>
      </c>
      <c r="J48" s="2">
        <f>SUMPRODUCT((Votes!$E4:$L4=J$45)*$B$4:$I$4)</f>
        <v>6</v>
      </c>
      <c r="K48" s="2">
        <f>SUMPRODUCT((Votes!$E4:$L4=K$45)*$B$4:$I$4)</f>
        <v>0</v>
      </c>
      <c r="L48" s="2">
        <f t="shared" si="5"/>
        <v>7</v>
      </c>
      <c r="M48" s="30">
        <f t="shared" si="6"/>
        <v>0.7142857143</v>
      </c>
      <c r="O48" s="42" t="s">
        <v>23</v>
      </c>
      <c r="P48" s="43">
        <v>1.0</v>
      </c>
      <c r="Q48" s="43">
        <v>1.0</v>
      </c>
      <c r="R48" s="44"/>
    </row>
    <row r="49" ht="15.75" customHeight="1">
      <c r="A49" s="2" t="str">
        <f>Votes!A5</f>
        <v>C04</v>
      </c>
      <c r="B49" s="2">
        <f>SUMPRODUCT((Votes!$E5:$L5=B$45)*$B$4:$I$4)</f>
        <v>2</v>
      </c>
      <c r="C49" s="2">
        <f>SUMPRODUCT((Votes!$E5:$L5=C$45)*$B$4:$I$4)</f>
        <v>5</v>
      </c>
      <c r="D49" s="2">
        <f>SUMPRODUCT((Votes!$E5:$L5=D$45)*$B$4:$I$4)</f>
        <v>0</v>
      </c>
      <c r="E49" s="2">
        <f>SUMPRODUCT((Votes!$E5:$L5=E$45)*$B$4:$I$4)</f>
        <v>0</v>
      </c>
      <c r="F49" s="2">
        <f>SUMPRODUCT((Votes!$E5:$L5=F$45)*$B$4:$I$4)</f>
        <v>0</v>
      </c>
      <c r="G49" s="2">
        <f>SUMPRODUCT((Votes!$E5:$L5=G$45)*$B$4:$I$4)</f>
        <v>0</v>
      </c>
      <c r="H49" s="2">
        <f>SUMPRODUCT((Votes!$E5:$L5=H$45)*$B$4:$I$4)</f>
        <v>0</v>
      </c>
      <c r="I49" s="2">
        <f>SUMPRODUCT((Votes!$E5:$L5=I$45)*$B$4:$I$4)</f>
        <v>0</v>
      </c>
      <c r="J49" s="2">
        <f>SUMPRODUCT((Votes!$E5:$L5=J$45)*$B$4:$I$4)</f>
        <v>0</v>
      </c>
      <c r="K49" s="2">
        <f>SUMPRODUCT((Votes!$E5:$L5=K$45)*$B$4:$I$4)</f>
        <v>0</v>
      </c>
      <c r="L49" s="2">
        <f t="shared" si="5"/>
        <v>7</v>
      </c>
      <c r="M49" s="30">
        <f t="shared" si="6"/>
        <v>0.5238095238</v>
      </c>
      <c r="O49" s="42" t="s">
        <v>30</v>
      </c>
      <c r="P49" s="43">
        <v>1.0</v>
      </c>
      <c r="Q49" s="43">
        <v>1.0</v>
      </c>
      <c r="R49" s="44"/>
    </row>
    <row r="50" ht="15.75" customHeight="1">
      <c r="A50" s="2" t="str">
        <f>Votes!A6</f>
        <v>C05</v>
      </c>
      <c r="B50" s="2">
        <f>SUMPRODUCT((Votes!$E6:$L6=B$45)*$B$4:$I$4)</f>
        <v>0</v>
      </c>
      <c r="C50" s="2">
        <f>SUMPRODUCT((Votes!$E6:$L6=C$45)*$B$4:$I$4)</f>
        <v>0</v>
      </c>
      <c r="D50" s="2">
        <f>SUMPRODUCT((Votes!$E6:$L6=D$45)*$B$4:$I$4)</f>
        <v>0</v>
      </c>
      <c r="E50" s="2">
        <f>SUMPRODUCT((Votes!$E6:$L6=E$45)*$B$4:$I$4)</f>
        <v>0</v>
      </c>
      <c r="F50" s="2">
        <f>SUMPRODUCT((Votes!$E6:$L6=F$45)*$B$4:$I$4)</f>
        <v>4</v>
      </c>
      <c r="G50" s="2">
        <f>SUMPRODUCT((Votes!$E6:$L6=G$45)*$B$4:$I$4)</f>
        <v>3</v>
      </c>
      <c r="H50" s="2">
        <f>SUMPRODUCT((Votes!$E6:$L6=H$45)*$B$4:$I$4)</f>
        <v>0</v>
      </c>
      <c r="I50" s="2">
        <f>SUMPRODUCT((Votes!$E6:$L6=I$45)*$B$4:$I$4)</f>
        <v>0</v>
      </c>
      <c r="J50" s="2">
        <f>SUMPRODUCT((Votes!$E6:$L6=J$45)*$B$4:$I$4)</f>
        <v>0</v>
      </c>
      <c r="K50" s="2">
        <f>SUMPRODUCT((Votes!$E6:$L6=K$45)*$B$4:$I$4)</f>
        <v>0</v>
      </c>
      <c r="L50" s="2">
        <f t="shared" si="5"/>
        <v>7</v>
      </c>
      <c r="M50" s="30">
        <f t="shared" si="6"/>
        <v>0.4285714286</v>
      </c>
      <c r="O50" s="42" t="s">
        <v>8</v>
      </c>
      <c r="P50" s="43">
        <v>0.0</v>
      </c>
      <c r="Q50" s="43">
        <v>0.0</v>
      </c>
      <c r="R50" s="44"/>
    </row>
    <row r="51" ht="15.75" customHeight="1">
      <c r="A51" s="2" t="str">
        <f>Votes!A7</f>
        <v>C06</v>
      </c>
      <c r="B51" s="2">
        <f>SUMPRODUCT((Votes!$E7:$L7=B$45)*$B$4:$I$4)</f>
        <v>0</v>
      </c>
      <c r="C51" s="2">
        <f>SUMPRODUCT((Votes!$E7:$L7=C$45)*$B$4:$I$4)</f>
        <v>0</v>
      </c>
      <c r="D51" s="2">
        <f>SUMPRODUCT((Votes!$E7:$L7=D$45)*$B$4:$I$4)</f>
        <v>3</v>
      </c>
      <c r="E51" s="2">
        <f>SUMPRODUCT((Votes!$E7:$L7=E$45)*$B$4:$I$4)</f>
        <v>4</v>
      </c>
      <c r="F51" s="2">
        <f>SUMPRODUCT((Votes!$E7:$L7=F$45)*$B$4:$I$4)</f>
        <v>0</v>
      </c>
      <c r="G51" s="2">
        <f>SUMPRODUCT((Votes!$E7:$L7=G$45)*$B$4:$I$4)</f>
        <v>0</v>
      </c>
      <c r="H51" s="2">
        <f>SUMPRODUCT((Votes!$E7:$L7=H$45)*$B$4:$I$4)</f>
        <v>0</v>
      </c>
      <c r="I51" s="2">
        <f>SUMPRODUCT((Votes!$E7:$L7=I$45)*$B$4:$I$4)</f>
        <v>0</v>
      </c>
      <c r="J51" s="2">
        <f>SUMPRODUCT((Votes!$E7:$L7=J$45)*$B$4:$I$4)</f>
        <v>0</v>
      </c>
      <c r="K51" s="2">
        <f>SUMPRODUCT((Votes!$E7:$L7=K$45)*$B$4:$I$4)</f>
        <v>0</v>
      </c>
      <c r="L51" s="2">
        <f t="shared" si="5"/>
        <v>7</v>
      </c>
      <c r="M51" s="30">
        <f t="shared" si="6"/>
        <v>0.4285714286</v>
      </c>
      <c r="O51" s="42" t="s">
        <v>45</v>
      </c>
      <c r="P51" s="43">
        <v>1.0</v>
      </c>
      <c r="Q51" s="43">
        <v>1.0</v>
      </c>
      <c r="R51" s="44"/>
    </row>
    <row r="52" ht="15.75" customHeight="1">
      <c r="A52" s="2" t="str">
        <f>Votes!A8</f>
        <v>C07</v>
      </c>
      <c r="B52" s="2">
        <f>SUMPRODUCT((Votes!$E8:$L8=B$45)*$B$4:$I$4)</f>
        <v>2</v>
      </c>
      <c r="C52" s="2">
        <f>SUMPRODUCT((Votes!$E8:$L8=C$45)*$B$4:$I$4)</f>
        <v>0</v>
      </c>
      <c r="D52" s="2">
        <f>SUMPRODUCT((Votes!$E8:$L8=D$45)*$B$4:$I$4)</f>
        <v>0</v>
      </c>
      <c r="E52" s="2">
        <f>SUMPRODUCT((Votes!$E8:$L8=E$45)*$B$4:$I$4)</f>
        <v>0</v>
      </c>
      <c r="F52" s="2">
        <f>SUMPRODUCT((Votes!$E8:$L8=F$45)*$B$4:$I$4)</f>
        <v>0</v>
      </c>
      <c r="G52" s="2">
        <f>SUMPRODUCT((Votes!$E8:$L8=G$45)*$B$4:$I$4)</f>
        <v>0</v>
      </c>
      <c r="H52" s="2">
        <f>SUMPRODUCT((Votes!$E8:$L8=H$45)*$B$4:$I$4)</f>
        <v>5</v>
      </c>
      <c r="I52" s="2">
        <f>SUMPRODUCT((Votes!$E8:$L8=I$45)*$B$4:$I$4)</f>
        <v>0</v>
      </c>
      <c r="J52" s="2">
        <f>SUMPRODUCT((Votes!$E8:$L8=J$45)*$B$4:$I$4)</f>
        <v>0</v>
      </c>
      <c r="K52" s="2">
        <f>SUMPRODUCT((Votes!$E8:$L8=K$45)*$B$4:$I$4)</f>
        <v>0</v>
      </c>
      <c r="L52" s="2">
        <f t="shared" si="5"/>
        <v>7</v>
      </c>
      <c r="M52" s="30">
        <f t="shared" si="6"/>
        <v>0.5238095238</v>
      </c>
      <c r="O52" s="42" t="s">
        <v>53</v>
      </c>
      <c r="P52" s="43">
        <v>1.0</v>
      </c>
      <c r="Q52" s="43">
        <v>1.0</v>
      </c>
      <c r="R52" s="44"/>
    </row>
    <row r="53" ht="15.75" customHeight="1">
      <c r="A53" s="2" t="str">
        <f>Votes!A9</f>
        <v>C08</v>
      </c>
      <c r="B53" s="2">
        <f>SUMPRODUCT((Votes!$E9:$L9=B$45)*$B$4:$I$4)</f>
        <v>2</v>
      </c>
      <c r="C53" s="2">
        <f>SUMPRODUCT((Votes!$E9:$L9=C$45)*$B$4:$I$4)</f>
        <v>0</v>
      </c>
      <c r="D53" s="2">
        <f>SUMPRODUCT((Votes!$E9:$L9=D$45)*$B$4:$I$4)</f>
        <v>0</v>
      </c>
      <c r="E53" s="2">
        <f>SUMPRODUCT((Votes!$E9:$L9=E$45)*$B$4:$I$4)</f>
        <v>5</v>
      </c>
      <c r="F53" s="2">
        <f>SUMPRODUCT((Votes!$E9:$L9=F$45)*$B$4:$I$4)</f>
        <v>0</v>
      </c>
      <c r="G53" s="2">
        <f>SUMPRODUCT((Votes!$E9:$L9=G$45)*$B$4:$I$4)</f>
        <v>0</v>
      </c>
      <c r="H53" s="2">
        <f>SUMPRODUCT((Votes!$E9:$L9=H$45)*$B$4:$I$4)</f>
        <v>0</v>
      </c>
      <c r="I53" s="2">
        <f>SUMPRODUCT((Votes!$E9:$L9=I$45)*$B$4:$I$4)</f>
        <v>0</v>
      </c>
      <c r="J53" s="2">
        <f>SUMPRODUCT((Votes!$E9:$L9=J$45)*$B$4:$I$4)</f>
        <v>0</v>
      </c>
      <c r="K53" s="2">
        <f>SUMPRODUCT((Votes!$E9:$L9=K$45)*$B$4:$I$4)</f>
        <v>0</v>
      </c>
      <c r="L53" s="2">
        <f t="shared" si="5"/>
        <v>7</v>
      </c>
      <c r="M53" s="30">
        <f t="shared" si="6"/>
        <v>0.5238095238</v>
      </c>
      <c r="O53" s="42" t="s">
        <v>45</v>
      </c>
      <c r="P53" s="43">
        <v>1.0</v>
      </c>
      <c r="Q53" s="43">
        <v>1.0</v>
      </c>
      <c r="R53" s="44"/>
    </row>
    <row r="54" ht="15.75" customHeight="1">
      <c r="A54" s="2" t="str">
        <f>Votes!A10</f>
        <v>C09</v>
      </c>
      <c r="B54" s="2">
        <f>SUMPRODUCT((Votes!$E10:$L10=B$45)*$B$4:$I$4)</f>
        <v>1</v>
      </c>
      <c r="C54" s="2">
        <f>SUMPRODUCT((Votes!$E10:$L10=C$45)*$B$4:$I$4)</f>
        <v>0</v>
      </c>
      <c r="D54" s="2">
        <f>SUMPRODUCT((Votes!$E10:$L10=D$45)*$B$4:$I$4)</f>
        <v>1</v>
      </c>
      <c r="E54" s="2">
        <f>SUMPRODUCT((Votes!$E10:$L10=E$45)*$B$4:$I$4)</f>
        <v>0</v>
      </c>
      <c r="F54" s="2">
        <f>SUMPRODUCT((Votes!$E10:$L10=F$45)*$B$4:$I$4)</f>
        <v>5</v>
      </c>
      <c r="G54" s="2">
        <f>SUMPRODUCT((Votes!$E10:$L10=G$45)*$B$4:$I$4)</f>
        <v>0</v>
      </c>
      <c r="H54" s="2">
        <f>SUMPRODUCT((Votes!$E10:$L10=H$45)*$B$4:$I$4)</f>
        <v>0</v>
      </c>
      <c r="I54" s="2">
        <f>SUMPRODUCT((Votes!$E10:$L10=I$45)*$B$4:$I$4)</f>
        <v>0</v>
      </c>
      <c r="J54" s="2">
        <f>SUMPRODUCT((Votes!$E10:$L10=J$45)*$B$4:$I$4)</f>
        <v>0</v>
      </c>
      <c r="K54" s="2">
        <f>SUMPRODUCT((Votes!$E10:$L10=K$45)*$B$4:$I$4)</f>
        <v>0</v>
      </c>
      <c r="L54" s="2">
        <f t="shared" si="5"/>
        <v>7</v>
      </c>
      <c r="M54" s="30">
        <f t="shared" si="6"/>
        <v>0.4761904762</v>
      </c>
      <c r="O54" s="42" t="s">
        <v>8</v>
      </c>
      <c r="P54" s="43">
        <v>1.0</v>
      </c>
      <c r="Q54" s="43">
        <v>1.0</v>
      </c>
      <c r="R54" s="44"/>
    </row>
    <row r="55" ht="15.75" customHeight="1">
      <c r="A55" s="2" t="str">
        <f>Votes!A11</f>
        <v>C10</v>
      </c>
      <c r="B55" s="2">
        <f>SUMPRODUCT((Votes!$E11:$L11=B$45)*$B$4:$I$4)</f>
        <v>1</v>
      </c>
      <c r="C55" s="2">
        <f>SUMPRODUCT((Votes!$E11:$L11=C$45)*$B$4:$I$4)</f>
        <v>2</v>
      </c>
      <c r="D55" s="2">
        <f>SUMPRODUCT((Votes!$E11:$L11=D$45)*$B$4:$I$4)</f>
        <v>0</v>
      </c>
      <c r="E55" s="2">
        <f>SUMPRODUCT((Votes!$E11:$L11=E$45)*$B$4:$I$4)</f>
        <v>3</v>
      </c>
      <c r="F55" s="2">
        <f>SUMPRODUCT((Votes!$E11:$L11=F$45)*$B$4:$I$4)</f>
        <v>0</v>
      </c>
      <c r="G55" s="2">
        <f>SUMPRODUCT((Votes!$E11:$L11=G$45)*$B$4:$I$4)</f>
        <v>0</v>
      </c>
      <c r="H55" s="2">
        <f>SUMPRODUCT((Votes!$E11:$L11=H$45)*$B$4:$I$4)</f>
        <v>1</v>
      </c>
      <c r="I55" s="2">
        <f>SUMPRODUCT((Votes!$E11:$L11=I$45)*$B$4:$I$4)</f>
        <v>0</v>
      </c>
      <c r="J55" s="2">
        <f>SUMPRODUCT((Votes!$E11:$L11=J$45)*$B$4:$I$4)</f>
        <v>0</v>
      </c>
      <c r="K55" s="2">
        <f>SUMPRODUCT((Votes!$E11:$L11=K$45)*$B$4:$I$4)</f>
        <v>0</v>
      </c>
      <c r="L55" s="2">
        <f t="shared" si="5"/>
        <v>7</v>
      </c>
      <c r="M55" s="30">
        <f t="shared" si="6"/>
        <v>0.1904761905</v>
      </c>
      <c r="O55" s="42" t="s">
        <v>45</v>
      </c>
      <c r="P55" s="43">
        <v>0.0</v>
      </c>
      <c r="Q55" s="43">
        <v>0.0</v>
      </c>
      <c r="R55" s="44"/>
    </row>
    <row r="56" ht="15.75" customHeight="1">
      <c r="A56" s="2" t="str">
        <f>Votes!A12</f>
        <v>C11</v>
      </c>
      <c r="B56" s="2">
        <f>SUMPRODUCT((Votes!$E12:$L12=B$45)*$B$4:$I$4)</f>
        <v>0</v>
      </c>
      <c r="C56" s="2">
        <f>SUMPRODUCT((Votes!$E12:$L12=C$45)*$B$4:$I$4)</f>
        <v>0</v>
      </c>
      <c r="D56" s="2">
        <f>SUMPRODUCT((Votes!$E12:$L12=D$45)*$B$4:$I$4)</f>
        <v>1</v>
      </c>
      <c r="E56" s="2">
        <f>SUMPRODUCT((Votes!$E12:$L12=E$45)*$B$4:$I$4)</f>
        <v>0</v>
      </c>
      <c r="F56" s="2">
        <f>SUMPRODUCT((Votes!$E12:$L12=F$45)*$B$4:$I$4)</f>
        <v>0</v>
      </c>
      <c r="G56" s="2">
        <f>SUMPRODUCT((Votes!$E12:$L12=G$45)*$B$4:$I$4)</f>
        <v>6</v>
      </c>
      <c r="H56" s="2">
        <f>SUMPRODUCT((Votes!$E12:$L12=H$45)*$B$4:$I$4)</f>
        <v>0</v>
      </c>
      <c r="I56" s="2">
        <f>SUMPRODUCT((Votes!$E12:$L12=I$45)*$B$4:$I$4)</f>
        <v>0</v>
      </c>
      <c r="J56" s="2">
        <f>SUMPRODUCT((Votes!$E12:$L12=J$45)*$B$4:$I$4)</f>
        <v>0</v>
      </c>
      <c r="K56" s="2">
        <f>SUMPRODUCT((Votes!$E12:$L12=K$45)*$B$4:$I$4)</f>
        <v>0</v>
      </c>
      <c r="L56" s="2">
        <f t="shared" si="5"/>
        <v>7</v>
      </c>
      <c r="M56" s="30">
        <f t="shared" si="6"/>
        <v>0.7142857143</v>
      </c>
      <c r="O56" s="42" t="s">
        <v>15</v>
      </c>
      <c r="P56" s="43">
        <v>1.0</v>
      </c>
      <c r="Q56" s="43">
        <v>1.0</v>
      </c>
      <c r="R56" s="44"/>
    </row>
    <row r="57" ht="15.75" customHeight="1">
      <c r="A57" s="2" t="str">
        <f>Votes!A13</f>
        <v>C12</v>
      </c>
      <c r="B57" s="2">
        <f>SUMPRODUCT((Votes!$E13:$L13=B$45)*$B$4:$I$4)</f>
        <v>3</v>
      </c>
      <c r="C57" s="2">
        <f>SUMPRODUCT((Votes!$E13:$L13=C$45)*$B$4:$I$4)</f>
        <v>3</v>
      </c>
      <c r="D57" s="2">
        <f>SUMPRODUCT((Votes!$E13:$L13=D$45)*$B$4:$I$4)</f>
        <v>0</v>
      </c>
      <c r="E57" s="2">
        <f>SUMPRODUCT((Votes!$E13:$L13=E$45)*$B$4:$I$4)</f>
        <v>0</v>
      </c>
      <c r="F57" s="2">
        <f>SUMPRODUCT((Votes!$E13:$L13=F$45)*$B$4:$I$4)</f>
        <v>0</v>
      </c>
      <c r="G57" s="2">
        <f>SUMPRODUCT((Votes!$E13:$L13=G$45)*$B$4:$I$4)</f>
        <v>0</v>
      </c>
      <c r="H57" s="2">
        <f>SUMPRODUCT((Votes!$E13:$L13=H$45)*$B$4:$I$4)</f>
        <v>1</v>
      </c>
      <c r="I57" s="2">
        <f>SUMPRODUCT((Votes!$E13:$L13=I$45)*$B$4:$I$4)</f>
        <v>0</v>
      </c>
      <c r="J57" s="2">
        <f>SUMPRODUCT((Votes!$E13:$L13=J$45)*$B$4:$I$4)</f>
        <v>0</v>
      </c>
      <c r="K57" s="2">
        <f>SUMPRODUCT((Votes!$E13:$L13=K$45)*$B$4:$I$4)</f>
        <v>0</v>
      </c>
      <c r="L57" s="2">
        <f t="shared" si="5"/>
        <v>7</v>
      </c>
      <c r="M57" s="30">
        <f t="shared" si="6"/>
        <v>0.2857142857</v>
      </c>
      <c r="O57" s="42" t="s">
        <v>365</v>
      </c>
      <c r="P57" s="43">
        <v>0.0</v>
      </c>
      <c r="Q57" s="43">
        <v>0.0</v>
      </c>
      <c r="R57" s="44"/>
    </row>
    <row r="58" ht="15.75" customHeight="1">
      <c r="A58" s="2" t="str">
        <f>Votes!A14</f>
        <v>C13</v>
      </c>
      <c r="B58" s="2">
        <f>SUMPRODUCT((Votes!$E14:$L14=B$45)*$B$4:$I$4)</f>
        <v>0</v>
      </c>
      <c r="C58" s="2">
        <f>SUMPRODUCT((Votes!$E14:$L14=C$45)*$B$4:$I$4)</f>
        <v>0</v>
      </c>
      <c r="D58" s="2">
        <f>SUMPRODUCT((Votes!$E14:$L14=D$45)*$B$4:$I$4)</f>
        <v>0</v>
      </c>
      <c r="E58" s="2">
        <f>SUMPRODUCT((Votes!$E14:$L14=E$45)*$B$4:$I$4)</f>
        <v>0</v>
      </c>
      <c r="F58" s="2">
        <f>SUMPRODUCT((Votes!$E14:$L14=F$45)*$B$4:$I$4)</f>
        <v>0</v>
      </c>
      <c r="G58" s="2">
        <f>SUMPRODUCT((Votes!$E14:$L14=G$45)*$B$4:$I$4)</f>
        <v>0</v>
      </c>
      <c r="H58" s="2">
        <f>SUMPRODUCT((Votes!$E14:$L14=H$45)*$B$4:$I$4)</f>
        <v>0</v>
      </c>
      <c r="I58" s="2">
        <f>SUMPRODUCT((Votes!$E14:$L14=I$45)*$B$4:$I$4)</f>
        <v>7</v>
      </c>
      <c r="J58" s="2">
        <f>SUMPRODUCT((Votes!$E14:$L14=J$45)*$B$4:$I$4)</f>
        <v>0</v>
      </c>
      <c r="K58" s="2">
        <f>SUMPRODUCT((Votes!$E14:$L14=K$45)*$B$4:$I$4)</f>
        <v>0</v>
      </c>
      <c r="L58" s="2">
        <f t="shared" si="5"/>
        <v>7</v>
      </c>
      <c r="M58" s="30">
        <f t="shared" si="6"/>
        <v>1</v>
      </c>
      <c r="O58" s="42" t="s">
        <v>69</v>
      </c>
      <c r="P58" s="43">
        <v>1.0</v>
      </c>
      <c r="Q58" s="43">
        <v>1.0</v>
      </c>
      <c r="R58" s="44"/>
    </row>
    <row r="59" ht="15.75" customHeight="1">
      <c r="A59" s="2" t="str">
        <f>Votes!A15</f>
        <v>C14</v>
      </c>
      <c r="B59" s="2">
        <f>SUMPRODUCT((Votes!$E15:$L15=B$45)*$B$4:$I$4)</f>
        <v>0</v>
      </c>
      <c r="C59" s="2">
        <f>SUMPRODUCT((Votes!$E15:$L15=C$45)*$B$4:$I$4)</f>
        <v>0</v>
      </c>
      <c r="D59" s="2">
        <f>SUMPRODUCT((Votes!$E15:$L15=D$45)*$B$4:$I$4)</f>
        <v>5</v>
      </c>
      <c r="E59" s="2">
        <f>SUMPRODUCT((Votes!$E15:$L15=E$45)*$B$4:$I$4)</f>
        <v>0</v>
      </c>
      <c r="F59" s="2">
        <f>SUMPRODUCT((Votes!$E15:$L15=F$45)*$B$4:$I$4)</f>
        <v>0</v>
      </c>
      <c r="G59" s="2">
        <f>SUMPRODUCT((Votes!$E15:$L15=G$45)*$B$4:$I$4)</f>
        <v>0</v>
      </c>
      <c r="H59" s="2">
        <f>SUMPRODUCT((Votes!$E15:$L15=H$45)*$B$4:$I$4)</f>
        <v>0</v>
      </c>
      <c r="I59" s="2">
        <f>SUMPRODUCT((Votes!$E15:$L15=I$45)*$B$4:$I$4)</f>
        <v>1</v>
      </c>
      <c r="J59" s="2">
        <f>SUMPRODUCT((Votes!$E15:$L15=J$45)*$B$4:$I$4)</f>
        <v>1</v>
      </c>
      <c r="K59" s="2">
        <f>SUMPRODUCT((Votes!$E15:$L15=K$45)*$B$4:$I$4)</f>
        <v>0</v>
      </c>
      <c r="L59" s="2">
        <f t="shared" si="5"/>
        <v>7</v>
      </c>
      <c r="M59" s="30">
        <f t="shared" si="6"/>
        <v>0.4761904762</v>
      </c>
      <c r="O59" s="42" t="s">
        <v>12</v>
      </c>
      <c r="P59" s="43">
        <v>1.0</v>
      </c>
      <c r="Q59" s="43">
        <v>1.0</v>
      </c>
      <c r="R59" s="44"/>
    </row>
    <row r="60" ht="15.75" customHeight="1">
      <c r="A60" s="2" t="str">
        <f>Votes!A16</f>
        <v>C15</v>
      </c>
      <c r="B60" s="2">
        <f>SUMPRODUCT((Votes!$E16:$L16=B$45)*$B$4:$I$4)</f>
        <v>1</v>
      </c>
      <c r="C60" s="2">
        <f>SUMPRODUCT((Votes!$E16:$L16=C$45)*$B$4:$I$4)</f>
        <v>0</v>
      </c>
      <c r="D60" s="2">
        <f>SUMPRODUCT((Votes!$E16:$L16=D$45)*$B$4:$I$4)</f>
        <v>1</v>
      </c>
      <c r="E60" s="2">
        <f>SUMPRODUCT((Votes!$E16:$L16=E$45)*$B$4:$I$4)</f>
        <v>1</v>
      </c>
      <c r="F60" s="2">
        <f>SUMPRODUCT((Votes!$E16:$L16=F$45)*$B$4:$I$4)</f>
        <v>3</v>
      </c>
      <c r="G60" s="2">
        <f>SUMPRODUCT((Votes!$E16:$L16=G$45)*$B$4:$I$4)</f>
        <v>1</v>
      </c>
      <c r="H60" s="2">
        <f>SUMPRODUCT((Votes!$E16:$L16=H$45)*$B$4:$I$4)</f>
        <v>0</v>
      </c>
      <c r="I60" s="2">
        <f>SUMPRODUCT((Votes!$E16:$L16=I$45)*$B$4:$I$4)</f>
        <v>0</v>
      </c>
      <c r="J60" s="2">
        <f>SUMPRODUCT((Votes!$E16:$L16=J$45)*$B$4:$I$4)</f>
        <v>0</v>
      </c>
      <c r="K60" s="2">
        <f>SUMPRODUCT((Votes!$E16:$L16=K$45)*$B$4:$I$4)</f>
        <v>0</v>
      </c>
      <c r="L60" s="2">
        <f t="shared" si="5"/>
        <v>7</v>
      </c>
      <c r="M60" s="30">
        <f t="shared" si="6"/>
        <v>0.1428571429</v>
      </c>
      <c r="O60" s="42" t="s">
        <v>8</v>
      </c>
      <c r="P60" s="43">
        <v>1.0</v>
      </c>
      <c r="Q60" s="43">
        <v>1.0</v>
      </c>
      <c r="R60" s="44"/>
    </row>
    <row r="61" ht="15.75" customHeight="1">
      <c r="A61" s="2" t="str">
        <f>Votes!A17</f>
        <v>C16</v>
      </c>
      <c r="B61" s="2">
        <f>SUMPRODUCT((Votes!$E17:$L17=B$45)*$B$4:$I$4)</f>
        <v>1</v>
      </c>
      <c r="C61" s="2">
        <f>SUMPRODUCT((Votes!$E17:$L17=C$45)*$B$4:$I$4)</f>
        <v>0</v>
      </c>
      <c r="D61" s="2">
        <f>SUMPRODUCT((Votes!$E17:$L17=D$45)*$B$4:$I$4)</f>
        <v>0</v>
      </c>
      <c r="E61" s="2">
        <f>SUMPRODUCT((Votes!$E17:$L17=E$45)*$B$4:$I$4)</f>
        <v>3</v>
      </c>
      <c r="F61" s="2">
        <f>SUMPRODUCT((Votes!$E17:$L17=F$45)*$B$4:$I$4)</f>
        <v>1</v>
      </c>
      <c r="G61" s="2">
        <f>SUMPRODUCT((Votes!$E17:$L17=G$45)*$B$4:$I$4)</f>
        <v>0</v>
      </c>
      <c r="H61" s="2">
        <f>SUMPRODUCT((Votes!$E17:$L17=H$45)*$B$4:$I$4)</f>
        <v>0</v>
      </c>
      <c r="I61" s="2">
        <f>SUMPRODUCT((Votes!$E17:$L17=I$45)*$B$4:$I$4)</f>
        <v>0</v>
      </c>
      <c r="J61" s="2">
        <f>SUMPRODUCT((Votes!$E17:$L17=J$45)*$B$4:$I$4)</f>
        <v>2</v>
      </c>
      <c r="K61" s="2">
        <f>SUMPRODUCT((Votes!$E17:$L17=K$45)*$B$4:$I$4)</f>
        <v>0</v>
      </c>
      <c r="L61" s="2">
        <f t="shared" si="5"/>
        <v>7</v>
      </c>
      <c r="M61" s="30">
        <f t="shared" si="6"/>
        <v>0.1904761905</v>
      </c>
      <c r="O61" s="42" t="s">
        <v>45</v>
      </c>
      <c r="P61" s="43">
        <v>0.0</v>
      </c>
      <c r="Q61" s="43">
        <v>0.0</v>
      </c>
      <c r="R61" s="44"/>
    </row>
    <row r="62" ht="15.75" customHeight="1">
      <c r="A62" s="2" t="str">
        <f>Votes!A18</f>
        <v>C17</v>
      </c>
      <c r="B62" s="2">
        <f>SUMPRODUCT((Votes!$E18:$L18=B$45)*$B$4:$I$4)</f>
        <v>0</v>
      </c>
      <c r="C62" s="2">
        <f>SUMPRODUCT((Votes!$E18:$L18=C$45)*$B$4:$I$4)</f>
        <v>0</v>
      </c>
      <c r="D62" s="2">
        <f>SUMPRODUCT((Votes!$E18:$L18=D$45)*$B$4:$I$4)</f>
        <v>0</v>
      </c>
      <c r="E62" s="2">
        <f>SUMPRODUCT((Votes!$E18:$L18=E$45)*$B$4:$I$4)</f>
        <v>1</v>
      </c>
      <c r="F62" s="2">
        <f>SUMPRODUCT((Votes!$E18:$L18=F$45)*$B$4:$I$4)</f>
        <v>0</v>
      </c>
      <c r="G62" s="2">
        <f>SUMPRODUCT((Votes!$E18:$L18=G$45)*$B$4:$I$4)</f>
        <v>0</v>
      </c>
      <c r="H62" s="2">
        <f>SUMPRODUCT((Votes!$E18:$L18=H$45)*$B$4:$I$4)</f>
        <v>0</v>
      </c>
      <c r="I62" s="2">
        <f>SUMPRODUCT((Votes!$E18:$L18=I$45)*$B$4:$I$4)</f>
        <v>0</v>
      </c>
      <c r="J62" s="2">
        <f>SUMPRODUCT((Votes!$E18:$L18=J$45)*$B$4:$I$4)</f>
        <v>5</v>
      </c>
      <c r="K62" s="2">
        <f>SUMPRODUCT((Votes!$E18:$L18=K$45)*$B$4:$I$4)</f>
        <v>0</v>
      </c>
      <c r="L62" s="2">
        <f t="shared" si="5"/>
        <v>6</v>
      </c>
      <c r="M62" s="30">
        <f t="shared" si="6"/>
        <v>0.6666666667</v>
      </c>
      <c r="O62" s="42" t="s">
        <v>23</v>
      </c>
      <c r="P62" s="43">
        <v>1.0</v>
      </c>
      <c r="Q62" s="43">
        <v>1.0</v>
      </c>
      <c r="R62" s="44"/>
    </row>
    <row r="63" ht="15.75" customHeight="1">
      <c r="A63" s="2" t="str">
        <f>Votes!A19</f>
        <v>C18</v>
      </c>
      <c r="B63" s="2">
        <f>SUMPRODUCT((Votes!$E19:$L19=B$45)*$B$4:$I$4)</f>
        <v>0</v>
      </c>
      <c r="C63" s="2">
        <f>SUMPRODUCT((Votes!$E19:$L19=C$45)*$B$4:$I$4)</f>
        <v>0</v>
      </c>
      <c r="D63" s="2">
        <f>SUMPRODUCT((Votes!$E19:$L19=D$45)*$B$4:$I$4)</f>
        <v>0</v>
      </c>
      <c r="E63" s="2">
        <f>SUMPRODUCT((Votes!$E19:$L19=E$45)*$B$4:$I$4)</f>
        <v>5</v>
      </c>
      <c r="F63" s="2">
        <f>SUMPRODUCT((Votes!$E19:$L19=F$45)*$B$4:$I$4)</f>
        <v>0</v>
      </c>
      <c r="G63" s="2">
        <f>SUMPRODUCT((Votes!$E19:$L19=G$45)*$B$4:$I$4)</f>
        <v>0</v>
      </c>
      <c r="H63" s="2">
        <f>SUMPRODUCT((Votes!$E19:$L19=H$45)*$B$4:$I$4)</f>
        <v>1</v>
      </c>
      <c r="I63" s="2">
        <f>SUMPRODUCT((Votes!$E19:$L19=I$45)*$B$4:$I$4)</f>
        <v>0</v>
      </c>
      <c r="J63" s="2">
        <f>SUMPRODUCT((Votes!$E19:$L19=J$45)*$B$4:$I$4)</f>
        <v>0</v>
      </c>
      <c r="K63" s="2">
        <f>SUMPRODUCT((Votes!$E19:$L19=K$45)*$B$4:$I$4)</f>
        <v>0</v>
      </c>
      <c r="L63" s="2">
        <f t="shared" si="5"/>
        <v>6</v>
      </c>
      <c r="M63" s="30">
        <f t="shared" si="6"/>
        <v>0.6666666667</v>
      </c>
      <c r="O63" s="42" t="s">
        <v>45</v>
      </c>
      <c r="P63" s="43">
        <v>0.0</v>
      </c>
      <c r="Q63" s="43">
        <v>1.0</v>
      </c>
      <c r="R63" s="44"/>
    </row>
    <row r="64" ht="15.75" customHeight="1">
      <c r="A64" s="2" t="str">
        <f>Votes!A20</f>
        <v>C19</v>
      </c>
      <c r="B64" s="2">
        <f>SUMPRODUCT((Votes!$E20:$L20=B$45)*$B$4:$I$4)</f>
        <v>1</v>
      </c>
      <c r="C64" s="2">
        <f>SUMPRODUCT((Votes!$E20:$L20=C$45)*$B$4:$I$4)</f>
        <v>0</v>
      </c>
      <c r="D64" s="2">
        <f>SUMPRODUCT((Votes!$E20:$L20=D$45)*$B$4:$I$4)</f>
        <v>0</v>
      </c>
      <c r="E64" s="2">
        <f>SUMPRODUCT((Votes!$E20:$L20=E$45)*$B$4:$I$4)</f>
        <v>5</v>
      </c>
      <c r="F64" s="2">
        <f>SUMPRODUCT((Votes!$E20:$L20=F$45)*$B$4:$I$4)</f>
        <v>0</v>
      </c>
      <c r="G64" s="2">
        <f>SUMPRODUCT((Votes!$E20:$L20=G$45)*$B$4:$I$4)</f>
        <v>0</v>
      </c>
      <c r="H64" s="2">
        <f>SUMPRODUCT((Votes!$E20:$L20=H$45)*$B$4:$I$4)</f>
        <v>0</v>
      </c>
      <c r="I64" s="2">
        <f>SUMPRODUCT((Votes!$E20:$L20=I$45)*$B$4:$I$4)</f>
        <v>0</v>
      </c>
      <c r="J64" s="2">
        <f>SUMPRODUCT((Votes!$E20:$L20=J$45)*$B$4:$I$4)</f>
        <v>0</v>
      </c>
      <c r="K64" s="2">
        <f>SUMPRODUCT((Votes!$E20:$L20=K$45)*$B$4:$I$4)</f>
        <v>0</v>
      </c>
      <c r="L64" s="2">
        <f t="shared" si="5"/>
        <v>6</v>
      </c>
      <c r="M64" s="30">
        <f t="shared" si="6"/>
        <v>0.6666666667</v>
      </c>
      <c r="O64" s="42" t="s">
        <v>45</v>
      </c>
      <c r="P64" s="43">
        <v>1.0</v>
      </c>
      <c r="Q64" s="43">
        <v>1.0</v>
      </c>
      <c r="R64" s="44"/>
    </row>
    <row r="65" ht="15.75" customHeight="1">
      <c r="A65" s="2" t="str">
        <f>Votes!A21</f>
        <v>C20</v>
      </c>
      <c r="B65" s="2">
        <f>SUMPRODUCT((Votes!$E21:$L21=B$45)*$B$4:$I$4)</f>
        <v>0</v>
      </c>
      <c r="C65" s="2">
        <f>SUMPRODUCT((Votes!$E21:$L21=C$45)*$B$4:$I$4)</f>
        <v>2</v>
      </c>
      <c r="D65" s="2">
        <f>SUMPRODUCT((Votes!$E21:$L21=D$45)*$B$4:$I$4)</f>
        <v>0</v>
      </c>
      <c r="E65" s="2">
        <f>SUMPRODUCT((Votes!$E21:$L21=E$45)*$B$4:$I$4)</f>
        <v>1</v>
      </c>
      <c r="F65" s="2">
        <f>SUMPRODUCT((Votes!$E21:$L21=F$45)*$B$4:$I$4)</f>
        <v>0</v>
      </c>
      <c r="G65" s="2">
        <f>SUMPRODUCT((Votes!$E21:$L21=G$45)*$B$4:$I$4)</f>
        <v>0</v>
      </c>
      <c r="H65" s="2">
        <f>SUMPRODUCT((Votes!$E21:$L21=H$45)*$B$4:$I$4)</f>
        <v>4</v>
      </c>
      <c r="I65" s="2">
        <f>SUMPRODUCT((Votes!$E21:$L21=I$45)*$B$4:$I$4)</f>
        <v>0</v>
      </c>
      <c r="J65" s="2">
        <f>SUMPRODUCT((Votes!$E21:$L21=J$45)*$B$4:$I$4)</f>
        <v>0</v>
      </c>
      <c r="K65" s="2">
        <f>SUMPRODUCT((Votes!$E21:$L21=K$45)*$B$4:$I$4)</f>
        <v>0</v>
      </c>
      <c r="L65" s="2">
        <f t="shared" si="5"/>
        <v>7</v>
      </c>
      <c r="M65" s="30">
        <f t="shared" si="6"/>
        <v>0.3333333333</v>
      </c>
      <c r="O65" s="42" t="s">
        <v>53</v>
      </c>
      <c r="P65" s="43">
        <v>1.0</v>
      </c>
      <c r="Q65" s="43">
        <v>1.0</v>
      </c>
      <c r="R65" s="44"/>
    </row>
    <row r="66" ht="15.75" customHeight="1">
      <c r="A66" s="2" t="str">
        <f>Votes!A22</f>
        <v>C21</v>
      </c>
      <c r="B66" s="2">
        <f>SUMPRODUCT((Votes!$E22:$L22=B$45)*$B$4:$I$4)</f>
        <v>1</v>
      </c>
      <c r="C66" s="2">
        <f>SUMPRODUCT((Votes!$E22:$L22=C$45)*$B$4:$I$4)</f>
        <v>3</v>
      </c>
      <c r="D66" s="2">
        <f>SUMPRODUCT((Votes!$E22:$L22=D$45)*$B$4:$I$4)</f>
        <v>1</v>
      </c>
      <c r="E66" s="2">
        <f>SUMPRODUCT((Votes!$E22:$L22=E$45)*$B$4:$I$4)</f>
        <v>0</v>
      </c>
      <c r="F66" s="2">
        <f>SUMPRODUCT((Votes!$E22:$L22=F$45)*$B$4:$I$4)</f>
        <v>0</v>
      </c>
      <c r="G66" s="2">
        <f>SUMPRODUCT((Votes!$E22:$L22=G$45)*$B$4:$I$4)</f>
        <v>2</v>
      </c>
      <c r="H66" s="2">
        <f>SUMPRODUCT((Votes!$E22:$L22=H$45)*$B$4:$I$4)</f>
        <v>0</v>
      </c>
      <c r="I66" s="2">
        <f>SUMPRODUCT((Votes!$E22:$L22=I$45)*$B$4:$I$4)</f>
        <v>0</v>
      </c>
      <c r="J66" s="2">
        <f>SUMPRODUCT((Votes!$E22:$L22=J$45)*$B$4:$I$4)</f>
        <v>0</v>
      </c>
      <c r="K66" s="2">
        <f>SUMPRODUCT((Votes!$E22:$L22=K$45)*$B$4:$I$4)</f>
        <v>0</v>
      </c>
      <c r="L66" s="2">
        <f t="shared" si="5"/>
        <v>7</v>
      </c>
      <c r="M66" s="30">
        <f t="shared" si="6"/>
        <v>0.1904761905</v>
      </c>
      <c r="O66" s="42" t="s">
        <v>30</v>
      </c>
      <c r="P66" s="43">
        <v>1.0</v>
      </c>
      <c r="Q66" s="43">
        <v>1.0</v>
      </c>
      <c r="R66" s="44"/>
    </row>
    <row r="67" ht="15.75" customHeight="1">
      <c r="A67" s="2" t="str">
        <f>Votes!A23</f>
        <v>C22</v>
      </c>
      <c r="B67" s="2">
        <f>SUMPRODUCT((Votes!$E23:$L23=B$45)*$B$4:$I$4)</f>
        <v>1</v>
      </c>
      <c r="C67" s="2">
        <f>SUMPRODUCT((Votes!$E23:$L23=C$45)*$B$4:$I$4)</f>
        <v>0</v>
      </c>
      <c r="D67" s="2">
        <f>SUMPRODUCT((Votes!$E23:$L23=D$45)*$B$4:$I$4)</f>
        <v>0</v>
      </c>
      <c r="E67" s="2">
        <f>SUMPRODUCT((Votes!$E23:$L23=E$45)*$B$4:$I$4)</f>
        <v>0</v>
      </c>
      <c r="F67" s="2">
        <f>SUMPRODUCT((Votes!$E23:$L23=F$45)*$B$4:$I$4)</f>
        <v>5</v>
      </c>
      <c r="G67" s="2">
        <f>SUMPRODUCT((Votes!$E23:$L23=G$45)*$B$4:$I$4)</f>
        <v>1</v>
      </c>
      <c r="H67" s="2">
        <f>SUMPRODUCT((Votes!$E23:$L23=H$45)*$B$4:$I$4)</f>
        <v>0</v>
      </c>
      <c r="I67" s="2">
        <f>SUMPRODUCT((Votes!$E23:$L23=I$45)*$B$4:$I$4)</f>
        <v>0</v>
      </c>
      <c r="J67" s="2">
        <f>SUMPRODUCT((Votes!$E23:$L23=J$45)*$B$4:$I$4)</f>
        <v>0</v>
      </c>
      <c r="K67" s="2">
        <f>SUMPRODUCT((Votes!$E23:$L23=K$45)*$B$4:$I$4)</f>
        <v>0</v>
      </c>
      <c r="L67" s="2">
        <f t="shared" si="5"/>
        <v>7</v>
      </c>
      <c r="M67" s="30">
        <f t="shared" si="6"/>
        <v>0.4761904762</v>
      </c>
      <c r="O67" s="42" t="s">
        <v>8</v>
      </c>
      <c r="P67" s="43">
        <v>1.0</v>
      </c>
      <c r="Q67" s="43">
        <v>1.0</v>
      </c>
      <c r="R67" s="44"/>
    </row>
    <row r="68" ht="15.75" customHeight="1">
      <c r="A68" s="2" t="str">
        <f>Votes!A24</f>
        <v>C23</v>
      </c>
      <c r="B68" s="2">
        <f>SUMPRODUCT((Votes!$E24:$L24=B$45)*$B$4:$I$4)</f>
        <v>0</v>
      </c>
      <c r="C68" s="2">
        <f>SUMPRODUCT((Votes!$E24:$L24=C$45)*$B$4:$I$4)</f>
        <v>0</v>
      </c>
      <c r="D68" s="2">
        <f>SUMPRODUCT((Votes!$E24:$L24=D$45)*$B$4:$I$4)</f>
        <v>5</v>
      </c>
      <c r="E68" s="2">
        <f>SUMPRODUCT((Votes!$E24:$L24=E$45)*$B$4:$I$4)</f>
        <v>0</v>
      </c>
      <c r="F68" s="2">
        <f>SUMPRODUCT((Votes!$E24:$L24=F$45)*$B$4:$I$4)</f>
        <v>0</v>
      </c>
      <c r="G68" s="2">
        <f>SUMPRODUCT((Votes!$E24:$L24=G$45)*$B$4:$I$4)</f>
        <v>0</v>
      </c>
      <c r="H68" s="2">
        <f>SUMPRODUCT((Votes!$E24:$L24=H$45)*$B$4:$I$4)</f>
        <v>0</v>
      </c>
      <c r="I68" s="2">
        <f>SUMPRODUCT((Votes!$E24:$L24=I$45)*$B$4:$I$4)</f>
        <v>2</v>
      </c>
      <c r="J68" s="2">
        <f>SUMPRODUCT((Votes!$E24:$L24=J$45)*$B$4:$I$4)</f>
        <v>0</v>
      </c>
      <c r="K68" s="2">
        <f>SUMPRODUCT((Votes!$E24:$L24=K$45)*$B$4:$I$4)</f>
        <v>0</v>
      </c>
      <c r="L68" s="2">
        <f t="shared" si="5"/>
        <v>7</v>
      </c>
      <c r="M68" s="30">
        <f t="shared" si="6"/>
        <v>0.5238095238</v>
      </c>
      <c r="O68" s="42" t="s">
        <v>12</v>
      </c>
      <c r="P68" s="43">
        <v>1.0</v>
      </c>
      <c r="Q68" s="43">
        <v>1.0</v>
      </c>
      <c r="R68" s="44"/>
    </row>
    <row r="69" ht="15.75" customHeight="1">
      <c r="A69" s="2" t="str">
        <f>Votes!A25</f>
        <v>C24</v>
      </c>
      <c r="B69" s="2">
        <f>SUMPRODUCT((Votes!$E25:$L25=B$45)*$B$4:$I$4)</f>
        <v>0</v>
      </c>
      <c r="C69" s="2">
        <f>SUMPRODUCT((Votes!$E25:$L25=C$45)*$B$4:$I$4)</f>
        <v>0</v>
      </c>
      <c r="D69" s="2">
        <f>SUMPRODUCT((Votes!$E25:$L25=D$45)*$B$4:$I$4)</f>
        <v>0</v>
      </c>
      <c r="E69" s="2">
        <f>SUMPRODUCT((Votes!$E25:$L25=E$45)*$B$4:$I$4)</f>
        <v>0</v>
      </c>
      <c r="F69" s="2">
        <f>SUMPRODUCT((Votes!$E25:$L25=F$45)*$B$4:$I$4)</f>
        <v>0</v>
      </c>
      <c r="G69" s="2">
        <f>SUMPRODUCT((Votes!$E25:$L25=G$45)*$B$4:$I$4)</f>
        <v>0</v>
      </c>
      <c r="H69" s="2">
        <f>SUMPRODUCT((Votes!$E25:$L25=H$45)*$B$4:$I$4)</f>
        <v>0</v>
      </c>
      <c r="I69" s="2">
        <f>SUMPRODUCT((Votes!$E25:$L25=I$45)*$B$4:$I$4)</f>
        <v>7</v>
      </c>
      <c r="J69" s="2">
        <f>SUMPRODUCT((Votes!$E25:$L25=J$45)*$B$4:$I$4)</f>
        <v>0</v>
      </c>
      <c r="K69" s="2">
        <f>SUMPRODUCT((Votes!$E25:$L25=K$45)*$B$4:$I$4)</f>
        <v>0</v>
      </c>
      <c r="L69" s="2">
        <f t="shared" si="5"/>
        <v>7</v>
      </c>
      <c r="M69" s="30">
        <f t="shared" si="6"/>
        <v>1</v>
      </c>
      <c r="O69" s="42" t="s">
        <v>69</v>
      </c>
      <c r="P69" s="43">
        <v>1.0</v>
      </c>
      <c r="Q69" s="43">
        <v>1.0</v>
      </c>
      <c r="R69" s="44"/>
    </row>
    <row r="70" ht="15.75" customHeight="1">
      <c r="A70" s="2" t="str">
        <f>Votes!A26</f>
        <v>C25</v>
      </c>
      <c r="B70" s="2">
        <f>SUMPRODUCT((Votes!$E26:$L26=B$45)*$B$4:$I$4)</f>
        <v>0</v>
      </c>
      <c r="C70" s="2">
        <f>SUMPRODUCT((Votes!$E26:$L26=C$45)*$B$4:$I$4)</f>
        <v>0</v>
      </c>
      <c r="D70" s="2">
        <f>SUMPRODUCT((Votes!$E26:$L26=D$45)*$B$4:$I$4)</f>
        <v>0</v>
      </c>
      <c r="E70" s="2">
        <f>SUMPRODUCT((Votes!$E26:$L26=E$45)*$B$4:$I$4)</f>
        <v>0</v>
      </c>
      <c r="F70" s="2">
        <f>SUMPRODUCT((Votes!$E26:$L26=F$45)*$B$4:$I$4)</f>
        <v>0</v>
      </c>
      <c r="G70" s="2">
        <f>SUMPRODUCT((Votes!$E26:$L26=G$45)*$B$4:$I$4)</f>
        <v>0</v>
      </c>
      <c r="H70" s="2">
        <f>SUMPRODUCT((Votes!$E26:$L26=H$45)*$B$4:$I$4)</f>
        <v>0</v>
      </c>
      <c r="I70" s="2">
        <f>SUMPRODUCT((Votes!$E26:$L26=I$45)*$B$4:$I$4)</f>
        <v>0</v>
      </c>
      <c r="J70" s="2">
        <f>SUMPRODUCT((Votes!$E26:$L26=J$45)*$B$4:$I$4)</f>
        <v>7</v>
      </c>
      <c r="K70" s="2">
        <f>SUMPRODUCT((Votes!$E26:$L26=K$45)*$B$4:$I$4)</f>
        <v>0</v>
      </c>
      <c r="L70" s="2">
        <f t="shared" si="5"/>
        <v>7</v>
      </c>
      <c r="M70" s="30">
        <f t="shared" si="6"/>
        <v>1</v>
      </c>
      <c r="O70" s="42" t="s">
        <v>23</v>
      </c>
      <c r="P70" s="43">
        <v>1.0</v>
      </c>
      <c r="Q70" s="43">
        <v>1.0</v>
      </c>
      <c r="R70" s="44"/>
    </row>
    <row r="71" ht="15.75" customHeight="1">
      <c r="A71" s="2" t="str">
        <f>Votes!A27</f>
        <v>C26</v>
      </c>
      <c r="B71" s="2">
        <f>SUMPRODUCT((Votes!$E27:$L27=B$45)*$B$4:$I$4)</f>
        <v>0</v>
      </c>
      <c r="C71" s="2">
        <f>SUMPRODUCT((Votes!$E27:$L27=C$45)*$B$4:$I$4)</f>
        <v>0</v>
      </c>
      <c r="D71" s="2">
        <f>SUMPRODUCT((Votes!$E27:$L27=D$45)*$B$4:$I$4)</f>
        <v>1</v>
      </c>
      <c r="E71" s="2">
        <f>SUMPRODUCT((Votes!$E27:$L27=E$45)*$B$4:$I$4)</f>
        <v>0</v>
      </c>
      <c r="F71" s="2">
        <f>SUMPRODUCT((Votes!$E27:$L27=F$45)*$B$4:$I$4)</f>
        <v>0</v>
      </c>
      <c r="G71" s="2">
        <f>SUMPRODUCT((Votes!$E27:$L27=G$45)*$B$4:$I$4)</f>
        <v>0</v>
      </c>
      <c r="H71" s="2">
        <f>SUMPRODUCT((Votes!$E27:$L27=H$45)*$B$4:$I$4)</f>
        <v>6</v>
      </c>
      <c r="I71" s="2">
        <f>SUMPRODUCT((Votes!$E27:$L27=I$45)*$B$4:$I$4)</f>
        <v>0</v>
      </c>
      <c r="J71" s="2">
        <f>SUMPRODUCT((Votes!$E27:$L27=J$45)*$B$4:$I$4)</f>
        <v>0</v>
      </c>
      <c r="K71" s="2">
        <f>SUMPRODUCT((Votes!$E27:$L27=K$45)*$B$4:$I$4)</f>
        <v>0</v>
      </c>
      <c r="L71" s="2">
        <f t="shared" si="5"/>
        <v>7</v>
      </c>
      <c r="M71" s="30">
        <f t="shared" si="6"/>
        <v>0.7142857143</v>
      </c>
      <c r="O71" s="42" t="s">
        <v>53</v>
      </c>
      <c r="P71" s="43">
        <v>1.0</v>
      </c>
      <c r="Q71" s="43">
        <v>1.0</v>
      </c>
      <c r="R71" s="44"/>
    </row>
    <row r="72" ht="15.75" customHeight="1">
      <c r="A72" s="2" t="str">
        <f>Votes!A28</f>
        <v>C27</v>
      </c>
      <c r="B72" s="2">
        <f>SUMPRODUCT((Votes!$E28:$L28=B$45)*$B$4:$I$4)</f>
        <v>0</v>
      </c>
      <c r="C72" s="2">
        <f>SUMPRODUCT((Votes!$E28:$L28=C$45)*$B$4:$I$4)</f>
        <v>2</v>
      </c>
      <c r="D72" s="2">
        <f>SUMPRODUCT((Votes!$E28:$L28=D$45)*$B$4:$I$4)</f>
        <v>0</v>
      </c>
      <c r="E72" s="2">
        <f>SUMPRODUCT((Votes!$E28:$L28=E$45)*$B$4:$I$4)</f>
        <v>0</v>
      </c>
      <c r="F72" s="2">
        <f>SUMPRODUCT((Votes!$E28:$L28=F$45)*$B$4:$I$4)</f>
        <v>0</v>
      </c>
      <c r="G72" s="2">
        <f>SUMPRODUCT((Votes!$E28:$L28=G$45)*$B$4:$I$4)</f>
        <v>0</v>
      </c>
      <c r="H72" s="2">
        <f>SUMPRODUCT((Votes!$E28:$L28=H$45)*$B$4:$I$4)</f>
        <v>5</v>
      </c>
      <c r="I72" s="2">
        <f>SUMPRODUCT((Votes!$E28:$L28=I$45)*$B$4:$I$4)</f>
        <v>0</v>
      </c>
      <c r="J72" s="2">
        <f>SUMPRODUCT((Votes!$E28:$L28=J$45)*$B$4:$I$4)</f>
        <v>0</v>
      </c>
      <c r="K72" s="2">
        <f>SUMPRODUCT((Votes!$E28:$L28=K$45)*$B$4:$I$4)</f>
        <v>0</v>
      </c>
      <c r="L72" s="2">
        <f t="shared" si="5"/>
        <v>7</v>
      </c>
      <c r="M72" s="30">
        <f t="shared" si="6"/>
        <v>0.5238095238</v>
      </c>
      <c r="O72" s="42" t="s">
        <v>53</v>
      </c>
      <c r="P72" s="43">
        <v>1.0</v>
      </c>
      <c r="Q72" s="43">
        <v>1.0</v>
      </c>
      <c r="R72" s="44"/>
    </row>
    <row r="73" ht="15.75" customHeight="1">
      <c r="A73" s="2" t="str">
        <f>Votes!A29</f>
        <v>C28</v>
      </c>
      <c r="B73" s="2">
        <f>SUMPRODUCT((Votes!$E29:$L29=B$45)*$B$4:$I$4)</f>
        <v>0</v>
      </c>
      <c r="C73" s="2">
        <f>SUMPRODUCT((Votes!$E29:$L29=C$45)*$B$4:$I$4)</f>
        <v>0</v>
      </c>
      <c r="D73" s="2">
        <f>SUMPRODUCT((Votes!$E29:$L29=D$45)*$B$4:$I$4)</f>
        <v>0</v>
      </c>
      <c r="E73" s="2">
        <f>SUMPRODUCT((Votes!$E29:$L29=E$45)*$B$4:$I$4)</f>
        <v>0</v>
      </c>
      <c r="F73" s="2">
        <f>SUMPRODUCT((Votes!$E29:$L29=F$45)*$B$4:$I$4)</f>
        <v>0</v>
      </c>
      <c r="G73" s="2">
        <f>SUMPRODUCT((Votes!$E29:$L29=G$45)*$B$4:$I$4)</f>
        <v>7</v>
      </c>
      <c r="H73" s="2">
        <f>SUMPRODUCT((Votes!$E29:$L29=H$45)*$B$4:$I$4)</f>
        <v>0</v>
      </c>
      <c r="I73" s="2">
        <f>SUMPRODUCT((Votes!$E29:$L29=I$45)*$B$4:$I$4)</f>
        <v>0</v>
      </c>
      <c r="J73" s="2">
        <f>SUMPRODUCT((Votes!$E29:$L29=J$45)*$B$4:$I$4)</f>
        <v>0</v>
      </c>
      <c r="K73" s="2">
        <f>SUMPRODUCT((Votes!$E29:$L29=K$45)*$B$4:$I$4)</f>
        <v>0</v>
      </c>
      <c r="L73" s="2">
        <f t="shared" si="5"/>
        <v>7</v>
      </c>
      <c r="M73" s="30">
        <f t="shared" si="6"/>
        <v>1</v>
      </c>
      <c r="O73" s="42" t="s">
        <v>15</v>
      </c>
      <c r="P73" s="43">
        <v>1.0</v>
      </c>
      <c r="Q73" s="43">
        <v>1.0</v>
      </c>
      <c r="R73" s="44"/>
    </row>
    <row r="74" ht="15.75" customHeight="1">
      <c r="A74" s="2" t="str">
        <f>Votes!A30</f>
        <v>C29</v>
      </c>
      <c r="B74" s="2">
        <f>SUMPRODUCT((Votes!$E30:$L30=B$45)*$B$4:$I$4)</f>
        <v>4</v>
      </c>
      <c r="C74" s="2">
        <f>SUMPRODUCT((Votes!$E30:$L30=C$45)*$B$4:$I$4)</f>
        <v>1</v>
      </c>
      <c r="D74" s="2">
        <f>SUMPRODUCT((Votes!$E30:$L30=D$45)*$B$4:$I$4)</f>
        <v>0</v>
      </c>
      <c r="E74" s="2">
        <f>SUMPRODUCT((Votes!$E30:$L30=E$45)*$B$4:$I$4)</f>
        <v>1</v>
      </c>
      <c r="F74" s="2">
        <f>SUMPRODUCT((Votes!$E30:$L30=F$45)*$B$4:$I$4)</f>
        <v>1</v>
      </c>
      <c r="G74" s="2">
        <f>SUMPRODUCT((Votes!$E30:$L30=G$45)*$B$4:$I$4)</f>
        <v>0</v>
      </c>
      <c r="H74" s="2">
        <f>SUMPRODUCT((Votes!$E30:$L30=H$45)*$B$4:$I$4)</f>
        <v>0</v>
      </c>
      <c r="I74" s="2">
        <f>SUMPRODUCT((Votes!$E30:$L30=I$45)*$B$4:$I$4)</f>
        <v>0</v>
      </c>
      <c r="J74" s="2">
        <f>SUMPRODUCT((Votes!$E30:$L30=J$45)*$B$4:$I$4)</f>
        <v>0</v>
      </c>
      <c r="K74" s="2">
        <f>SUMPRODUCT((Votes!$E30:$L30=K$45)*$B$4:$I$4)</f>
        <v>0</v>
      </c>
      <c r="L74" s="2">
        <f t="shared" si="5"/>
        <v>7</v>
      </c>
      <c r="M74" s="30">
        <f t="shared" si="6"/>
        <v>0.2857142857</v>
      </c>
      <c r="O74" s="42" t="s">
        <v>33</v>
      </c>
      <c r="P74" s="43">
        <v>1.0</v>
      </c>
      <c r="Q74" s="43">
        <v>1.0</v>
      </c>
      <c r="R74" s="44"/>
    </row>
    <row r="75" ht="15.75" customHeight="1">
      <c r="A75" s="2" t="str">
        <f>Votes!A31</f>
        <v>C30</v>
      </c>
      <c r="B75" s="2">
        <f>SUMPRODUCT((Votes!$E31:$L31=B$45)*$B$4:$I$4)</f>
        <v>3</v>
      </c>
      <c r="C75" s="2">
        <f>SUMPRODUCT((Votes!$E31:$L31=C$45)*$B$4:$I$4)</f>
        <v>3</v>
      </c>
      <c r="D75" s="2">
        <f>SUMPRODUCT((Votes!$E31:$L31=D$45)*$B$4:$I$4)</f>
        <v>0</v>
      </c>
      <c r="E75" s="2">
        <f>SUMPRODUCT((Votes!$E31:$L31=E$45)*$B$4:$I$4)</f>
        <v>1</v>
      </c>
      <c r="F75" s="2">
        <f>SUMPRODUCT((Votes!$E31:$L31=F$45)*$B$4:$I$4)</f>
        <v>0</v>
      </c>
      <c r="G75" s="2">
        <f>SUMPRODUCT((Votes!$E31:$L31=G$45)*$B$4:$I$4)</f>
        <v>0</v>
      </c>
      <c r="H75" s="2">
        <f>SUMPRODUCT((Votes!$E31:$L31=H$45)*$B$4:$I$4)</f>
        <v>0</v>
      </c>
      <c r="I75" s="2">
        <f>SUMPRODUCT((Votes!$E31:$L31=I$45)*$B$4:$I$4)</f>
        <v>0</v>
      </c>
      <c r="J75" s="2">
        <f>SUMPRODUCT((Votes!$E31:$L31=J$45)*$B$4:$I$4)</f>
        <v>0</v>
      </c>
      <c r="K75" s="2">
        <f>SUMPRODUCT((Votes!$E31:$L31=K$45)*$B$4:$I$4)</f>
        <v>0</v>
      </c>
      <c r="L75" s="2">
        <f t="shared" si="5"/>
        <v>7</v>
      </c>
      <c r="M75" s="30">
        <f t="shared" si="6"/>
        <v>0.2857142857</v>
      </c>
      <c r="O75" s="42" t="s">
        <v>365</v>
      </c>
      <c r="P75" s="43">
        <v>0.0</v>
      </c>
      <c r="Q75" s="43">
        <v>0.0</v>
      </c>
      <c r="R75" s="44"/>
    </row>
    <row r="76" ht="15.75" customHeight="1">
      <c r="O76" s="45" t="s">
        <v>366</v>
      </c>
      <c r="P76" s="46">
        <v>24.0</v>
      </c>
      <c r="Q76" s="46">
        <v>25.0</v>
      </c>
      <c r="R76" s="44"/>
    </row>
    <row r="77" ht="15.75" customHeight="1">
      <c r="A77" s="22" t="s">
        <v>367</v>
      </c>
      <c r="B77" s="47">
        <f t="shared" ref="B77:K77" si="7">SUM(B46:B75)/SUM($L$46:$L$75)</f>
        <v>0.1207729469</v>
      </c>
      <c r="C77" s="47">
        <f t="shared" si="7"/>
        <v>0.1014492754</v>
      </c>
      <c r="D77" s="47">
        <f t="shared" si="7"/>
        <v>0.1111111111</v>
      </c>
      <c r="E77" s="47">
        <f t="shared" si="7"/>
        <v>0.1449275362</v>
      </c>
      <c r="F77" s="47">
        <f t="shared" si="7"/>
        <v>0.115942029</v>
      </c>
      <c r="G77" s="47">
        <f t="shared" si="7"/>
        <v>0.1111111111</v>
      </c>
      <c r="H77" s="47">
        <f t="shared" si="7"/>
        <v>0.1111111111</v>
      </c>
      <c r="I77" s="47">
        <f t="shared" si="7"/>
        <v>0.08212560386</v>
      </c>
      <c r="J77" s="47">
        <f t="shared" si="7"/>
        <v>0.1014492754</v>
      </c>
      <c r="K77" s="47">
        <f t="shared" si="7"/>
        <v>0</v>
      </c>
    </row>
    <row r="78" ht="15.75" customHeight="1">
      <c r="A78" s="2" t="s">
        <v>368</v>
      </c>
      <c r="B78" s="47">
        <f>AVERAGE(M46:M75)</f>
        <v>0.5285714286</v>
      </c>
    </row>
    <row r="79" ht="15.75" customHeight="1">
      <c r="A79" s="2" t="s">
        <v>369</v>
      </c>
      <c r="B79" s="47">
        <f>SUMSQ(B77:K77)</f>
        <v>0.1133982123</v>
      </c>
    </row>
    <row r="80" ht="15.75" customHeight="1">
      <c r="A80" s="22" t="s">
        <v>370</v>
      </c>
      <c r="B80" s="48">
        <f>(B78-B79)/(1-B79)</f>
        <v>0.468274734</v>
      </c>
    </row>
    <row r="81" ht="15.75" customHeight="1"/>
    <row r="82" ht="15.75" customHeight="1">
      <c r="A82" s="22" t="s">
        <v>371</v>
      </c>
      <c r="B82" s="47">
        <f t="shared" ref="B82:K82" si="8">SUM(B46:B60)/SUM($L$46:$L$60)</f>
        <v>0.1333333333</v>
      </c>
      <c r="C82" s="47">
        <f t="shared" si="8"/>
        <v>0.09523809524</v>
      </c>
      <c r="D82" s="47">
        <f t="shared" si="8"/>
        <v>0.1523809524</v>
      </c>
      <c r="E82" s="47">
        <f t="shared" si="8"/>
        <v>0.1238095238</v>
      </c>
      <c r="F82" s="47">
        <f t="shared" si="8"/>
        <v>0.1619047619</v>
      </c>
      <c r="G82" s="47">
        <f t="shared" si="8"/>
        <v>0.1238095238</v>
      </c>
      <c r="H82" s="47">
        <f t="shared" si="8"/>
        <v>0.06666666667</v>
      </c>
      <c r="I82" s="47">
        <f t="shared" si="8"/>
        <v>0.07619047619</v>
      </c>
      <c r="J82" s="47">
        <f t="shared" si="8"/>
        <v>0.06666666667</v>
      </c>
      <c r="K82" s="47">
        <f t="shared" si="8"/>
        <v>0</v>
      </c>
    </row>
    <row r="83" ht="15.75" customHeight="1">
      <c r="A83" s="2" t="s">
        <v>368</v>
      </c>
      <c r="B83" s="47">
        <f>AVERAGE(M46:M60)</f>
        <v>0.4888888889</v>
      </c>
    </row>
    <row r="84" ht="15.75" customHeight="1">
      <c r="A84" s="2" t="s">
        <v>369</v>
      </c>
      <c r="B84" s="47">
        <f>SUMSQ(B82:K82)</f>
        <v>0.1216326531</v>
      </c>
    </row>
    <row r="85" ht="15.75" customHeight="1">
      <c r="A85" s="22" t="s">
        <v>372</v>
      </c>
      <c r="B85" s="48">
        <f>(B83-B84)/(1-B84)</f>
        <v>0.4181123503</v>
      </c>
    </row>
    <row r="86" ht="15.75" customHeight="1"/>
    <row r="87" ht="15.75" customHeight="1">
      <c r="A87" s="22" t="s">
        <v>373</v>
      </c>
      <c r="B87" s="47">
        <f t="shared" ref="B87:K87" si="9">SUM(B61:B75)/SUM($L$61:$L$75)</f>
        <v>0.1078431373</v>
      </c>
      <c r="C87" s="47">
        <f t="shared" si="9"/>
        <v>0.1078431373</v>
      </c>
      <c r="D87" s="47">
        <f t="shared" si="9"/>
        <v>0.06862745098</v>
      </c>
      <c r="E87" s="47">
        <f t="shared" si="9"/>
        <v>0.1666666667</v>
      </c>
      <c r="F87" s="47">
        <f t="shared" si="9"/>
        <v>0.06862745098</v>
      </c>
      <c r="G87" s="47">
        <f t="shared" si="9"/>
        <v>0.09803921569</v>
      </c>
      <c r="H87" s="47">
        <f t="shared" si="9"/>
        <v>0.1568627451</v>
      </c>
      <c r="I87" s="47">
        <f t="shared" si="9"/>
        <v>0.08823529412</v>
      </c>
      <c r="J87" s="47">
        <f t="shared" si="9"/>
        <v>0.137254902</v>
      </c>
      <c r="K87" s="47">
        <f t="shared" si="9"/>
        <v>0</v>
      </c>
    </row>
    <row r="88" ht="15.75" customHeight="1">
      <c r="A88" s="2" t="s">
        <v>368</v>
      </c>
      <c r="B88" s="47">
        <f>AVERAGE(M61:M75)</f>
        <v>0.5682539683</v>
      </c>
    </row>
    <row r="89" ht="15.75" customHeight="1">
      <c r="A89" s="2" t="s">
        <v>369</v>
      </c>
      <c r="B89" s="47">
        <f>SUMSQ(B87:K87)</f>
        <v>0.1212995002</v>
      </c>
    </row>
    <row r="90" ht="15.75" customHeight="1">
      <c r="A90" s="22" t="s">
        <v>374</v>
      </c>
      <c r="B90" s="48">
        <f>(B88-B89)/(1-B89)</f>
        <v>0.5086539363</v>
      </c>
    </row>
    <row r="91" ht="15.75" customHeight="1"/>
    <row r="92" ht="15.75" customHeight="1">
      <c r="A92" s="25" t="s">
        <v>375</v>
      </c>
    </row>
    <row r="93" ht="15.75" customHeight="1">
      <c r="A93" s="25" t="s">
        <v>376</v>
      </c>
    </row>
    <row r="94" ht="15.75" customHeight="1">
      <c r="A94" s="25" t="s">
        <v>377</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2026-10-14T15:50:04Z</dcterms:created>
  <dc:creator>openpyxl</dc:creator>
</cp:coreProperties>
</file>

<file path=docProps/custom.xml><?xml version="1.0" encoding="utf-8"?>
<Properties xmlns="http://schemas.openxmlformats.org/officeDocument/2006/custom-properties" xmlns:vt="http://schemas.openxmlformats.org/officeDocument/2006/docPropsVTypes"/>
</file>