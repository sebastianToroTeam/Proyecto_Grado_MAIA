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lejandra/AI-UniAndes/Proyecto_progress/"/>
    </mc:Choice>
  </mc:AlternateContent>
  <xr:revisionPtr revIDLastSave="0" documentId="13_ncr:1_{91424795-A44A-B845-A053-019EB25300F8}" xr6:coauthVersionLast="47" xr6:coauthVersionMax="47" xr10:uidLastSave="{00000000-0000-0000-0000-000000000000}"/>
  <bookViews>
    <workbookView xWindow="17280" yWindow="2080" windowWidth="23580" windowHeight="17360" tabRatio="500" firstSheet="5" activeTab="14" xr2:uid="{00000000-000D-0000-FFFF-FFFF00000000}"/>
  </bookViews>
  <sheets>
    <sheet name="Léeme" sheetId="1" r:id="rId1"/>
    <sheet name="Proceso" sheetId="2" r:id="rId2"/>
    <sheet name="Corpus" sheetId="3" r:id="rId3"/>
    <sheet name="A1" sheetId="4" r:id="rId4"/>
    <sheet name="A1_histograma" sheetId="5" r:id="rId5"/>
    <sheet name="A2_selección" sheetId="6" r:id="rId6"/>
    <sheet name="A2_producción" sheetId="7" r:id="rId7"/>
    <sheet name="A2_rendimiento" sheetId="8" r:id="rId8"/>
    <sheet name="Oferta" sheetId="9" r:id="rId9"/>
    <sheet name="Calibraciones" sheetId="10" r:id="rId10"/>
    <sheet name="A3_diseño" sheetId="11" r:id="rId11"/>
    <sheet name="A3_rondas" sheetId="12" r:id="rId12"/>
    <sheet name="A3_ola1" sheetId="13" r:id="rId13"/>
    <sheet name="Aislamiento" sheetId="14" r:id="rId14"/>
    <sheet name="Desviacione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4" l="1"/>
  <c r="D19" i="14"/>
  <c r="E18" i="14"/>
  <c r="D18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D8" i="13"/>
  <c r="D7" i="13"/>
  <c r="D6" i="13"/>
  <c r="D5" i="13"/>
  <c r="D14" i="12"/>
  <c r="D13" i="12"/>
  <c r="B25" i="11"/>
  <c r="B29" i="11" s="1"/>
  <c r="D14" i="9"/>
  <c r="C14" i="9"/>
  <c r="B14" i="9"/>
  <c r="H13" i="9"/>
  <c r="F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C19" i="8"/>
  <c r="D10" i="8"/>
  <c r="D9" i="8"/>
  <c r="D8" i="8"/>
  <c r="D7" i="8"/>
  <c r="D6" i="8"/>
  <c r="D25" i="7"/>
  <c r="D24" i="7"/>
  <c r="D9" i="7"/>
  <c r="B9" i="7"/>
  <c r="D26" i="5"/>
  <c r="C26" i="5"/>
  <c r="B26" i="5"/>
  <c r="E21" i="4"/>
  <c r="C21" i="4"/>
  <c r="E20" i="4"/>
  <c r="C20" i="4"/>
  <c r="E19" i="4"/>
  <c r="C19" i="4"/>
  <c r="E18" i="4"/>
  <c r="C18" i="4"/>
  <c r="B28" i="11" l="1"/>
  <c r="F21" i="4"/>
  <c r="F19" i="4"/>
  <c r="F18" i="4"/>
  <c r="F20" i="4"/>
</calcChain>
</file>

<file path=xl/sharedStrings.xml><?xml version="1.0" encoding="utf-8"?>
<sst xmlns="http://schemas.openxmlformats.org/spreadsheetml/2006/main" count="652" uniqueCount="544">
  <si>
    <t>Tablas compartidas A1–A3 · Grupos 14 y 15 (equipo extendido)</t>
  </si>
  <si>
    <t>Versión 2026-10-24 · Proyecto LCR (unarXive 2022) · cifras tomadas de los registros del proyecto</t>
  </si>
  <si>
    <t>Propósito: un solo origen de cifras para los informes de avance de ambos grupos. Cada fila lleva su fuente (código, ver tabla abajo). Celdas amarillas = pendiente. Las celdas con fórmula se calculan a partir de los valores de la misma hoja; no editar las fórmulas, editar los valores de origen.</t>
  </si>
  <si>
    <t>Pestañas</t>
  </si>
  <si>
    <t>Pestaña</t>
  </si>
  <si>
    <t>Contenido</t>
  </si>
  <si>
    <t>Estado</t>
  </si>
  <si>
    <t>Proceso</t>
  </si>
  <si>
    <t>Etapas A1→A3 en orden: qué se hizo, por qué, salida y decisión de referencia</t>
  </si>
  <si>
    <t>Completo</t>
  </si>
  <si>
    <t>Corpus</t>
  </si>
  <si>
    <t>Corpus piloto y extensión: artículos, contextos, chunks, pares, grupos</t>
  </si>
  <si>
    <t>A1</t>
  </si>
  <si>
    <t>Recuperación Top-3: corridas, filtro de trabajos relacionados (norw), similitud coseno</t>
  </si>
  <si>
    <t>Completo</t>
  </si>
  <si>
    <t>A1_histograma</t>
  </si>
  <si>
    <t>Distribución del coseno Top-1 por corrida, con gráfico</t>
  </si>
  <si>
    <t>A2_selección</t>
  </si>
  <si>
    <t>Selección de jueces y prompt (eval60)</t>
  </si>
  <si>
    <t>A2_producción</t>
  </si>
  <si>
    <t>Corrida de producción, lotes y pools</t>
  </si>
  <si>
    <t>A2_rendimiento</t>
  </si>
  <si>
    <t>Rendimiento por estrato (aleatorio vs. frases-pista)</t>
  </si>
  <si>
    <t>Oferta</t>
  </si>
  <si>
    <t>Instancias de alta confianza por categoría vs. meta de 2.000</t>
  </si>
  <si>
    <t>Calibraciones</t>
  </si>
  <si>
    <t>eval60, calib30, calib2</t>
  </si>
  <si>
    <t>A3_diseño</t>
  </si>
  <si>
    <t>Parámetros del muestreo y la anotación de los conjuntos de prueba</t>
  </si>
  <si>
    <t>A3_rondas</t>
  </si>
  <si>
    <t>Rondas, olas, lotes y carga por persona</t>
  </si>
  <si>
    <t>Ronda 2: lanzamiento 26 oct</t>
  </si>
  <si>
    <t>A3_ola1</t>
  </si>
  <si>
    <t>Resultados de la ola 1 de la ronda 1</t>
  </si>
  <si>
    <t>κ de la ronda 1 pendiente (ola 2)</t>
  </si>
  <si>
    <t>Aislamiento</t>
  </si>
  <si>
    <t>Costo de las variantes V0/V1/V2 y conjunto de entrenamiento v1</t>
  </si>
  <si>
    <t>Variante por elegir (cada grupo)</t>
  </si>
  <si>
    <t>Desviaciones</t>
  </si>
  <si>
    <t>Diferencias con la propuesta y su justificación</t>
  </si>
  <si>
    <t>—</t>
  </si>
  <si>
    <t>Proceso A1 → A3, paso a paso</t>
  </si>
  <si>
    <t>Una fila por etapa; el «por qué» resume la decisión registrada</t>
  </si>
  <si>
    <t>#</t>
  </si>
  <si>
    <t>Fase</t>
  </si>
  <si>
    <t>Etapa</t>
  </si>
  <si>
    <t>Qué se hizo</t>
  </si>
  <si>
    <t>Por qué</t>
  </si>
  <si>
    <t>Salida</t>
  </si>
  <si>
    <t>Fuente</t>
  </si>
  <si>
    <t>Datos</t>
  </si>
  <si>
    <t>Extracción del subconjunto de computación</t>
  </si>
  <si>
    <t>Lectura en streaming del archivo de unarXive 2022; se conservan artículos con categoría primaria cs.*, eess.* o stat.ML.</t>
  </si>
  <si>
    <t>Corpus de texto completo con citas enlazadas; los benchmarks de recomendación local (ACL-200, PeerRead, RefSeer) solo traen título y resumen.</t>
  </si>
  <si>
    <t>cs_subset_core.jsonl</t>
  </si>
  <si>
    <t>Construcción de pares citante→citado (auto-referenciales)</t>
  </si>
  <si>
    <t>Contextos de cita del corpus piloto (primaria cs.CV, cs.SI, cs.HC, cs.CY, cs.ET); el artículo citado debe estar en el subconjunto; se excluyen auto-citas del mismo artículo; grupos de co-cita por posición del marcador (≤ 5 caracteres).</t>
  </si>
  <si>
    <t>A1 necesita el texto completo del artículo citado. cs.CV aporta volumen; las otras cuatro, variedad de estilo de citación. Arquitectura normalizada en dos archivos para evitar duplicar texto.</t>
  </si>
  <si>
    <t>citation_contexts_*.jsonl, cited_papers_*.jsonl</t>
  </si>
  <si>
    <t>Segmentación en chunks</t>
  </si>
  <si>
    <t>≤ 300 palabras / 2 párrafos y ≤ 512 tokens SciBERT, cortando en límites de oración y de sección; cada chunk con chunk_key estable y localizadores; tokenizador fijado (revisión de Hub).</t>
  </si>
  <si>
    <t>Unidad de recuperación de la propuesta; chunk_key reproducible.</t>
  </si>
  <si>
    <t>cited_papers_chunked_*.jsonl</t>
  </si>
  <si>
    <t>Limpieza</t>
  </si>
  <si>
    <t>Duplicados por artículo; chunks &lt; 15 palabras, boilerplate o &gt; 900 palabras; artículos citados sin chunks, &lt; 1.000 palabras o sin introducción y &lt; 2.000 palabras; contextos huérfanos, &gt; 1.000 palabras o &gt; 512 tokens.</t>
  </si>
  <si>
    <t>Elimina extracciones incompletas (solo apéndice) sin truncar contextos.</t>
  </si>
  <si>
    <t>*_clean_v1.jsonl</t>
  </si>
  <si>
    <t>Verificación de idioma</t>
  </si>
  <si>
    <t>Detector por palabras vacías; 11 artículos citantes no ingleses excluidos (piloto).</t>
  </si>
  <si>
    <t>El esquema y los modelos son para inglés.</t>
  </si>
  <si>
    <t>non_english_papers.jsonl</t>
  </si>
  <si>
    <t>Licencias</t>
  </si>
  <si>
    <t>Sin filtro de licencia al construir; publicación por identificadores + script de reconstrucción (300/300 contextos y chunks reconstruidos byte a byte). Mapa de licencias para marcar demo_eligible.</t>
  </si>
  <si>
    <t>Filtrar por licencia distorsionaba el balance de categorías.</t>
  </si>
  <si>
    <t>license_map.tsv; campo demo_eligible</t>
  </si>
  <si>
    <t>Embeddings de chunks y recuperación Top-3</t>
  </si>
  <si>
    <t>SciBERT sin ajuste, mean pooling con máscara de atención, normalización L2, similitud coseno contra los chunks del propio artículo citado; un contexto representativo por par citante→citado.</t>
  </si>
  <si>
    <t>Estrategia de la propuesta (Top-3 por SciBERT).</t>
  </si>
  <si>
    <t>a1/chunk_embeddings, a1/top3</t>
  </si>
  <si>
    <t>Filtro de trabajos relacionados (norw)</t>
  </si>
  <si>
    <t>Se excluyen en la recuperación los chunks de secciones de trabajos relacionados (con respaldo a todos los chunks si quedan &lt; 3).</t>
  </si>
  <si>
    <t>El 31,6 % del Top-1 venía de trabajos relacionados, que son el 8,55 % de los chunks (3,7×): describen otros trabajos, no el aporte del citado.</t>
  </si>
  <si>
    <t>a1_norw/top3</t>
  </si>
  <si>
    <t>A2</t>
  </si>
  <si>
    <t>Construcción de lotes</t>
  </si>
  <si>
    <t>Lotes aleatorios, de citas únicas y dirigidos por frases-pista; ≤ 1 instancia por grupo de co-cita y tope por artículo citante; cada instancia registra su estrato.</t>
  </si>
  <si>
    <t>Las categorías escasas casi no aparecen en muestreo aleatorio; la pista decide qué ve el juez, nunca la etiqueta.</t>
  </si>
  <si>
    <t>batches_norw/*.jsonl</t>
  </si>
  <si>
    <t>60 instancias etiquetadas a ciegas por los dos equipos; se compararon modelos de 7–8B y de 14–32B y versiones del prompt v8–v12.</t>
  </si>
  <si>
    <t>El trío original de 7–8B acertaba 13/41; el nuevo trío 30–32/41 en casos difíciles.</t>
  </si>
  <si>
    <t>judge_eval/</t>
  </si>
  <si>
    <t>Pre-etiquetado de producción</t>
  </si>
  <si>
    <t>Trío congelado Qwen3.8-27B + Gemma 4 26B-A4B + Mistral Small 3.2 24B, prompt v11.1, decodificación greedy, salida JSON con cita de evidencia.</t>
  </si>
  <si>
    <t>Una sola configuración para todo el pool, como exige el contrato.</t>
  </si>
  <si>
    <t>pool_v11.1/</t>
  </si>
  <si>
    <t>Voto</t>
  </si>
  <si>
    <t>Solo vota la etiqueta primaria; un juez cuya evidencia no proviene del párrafo citante se abstiene; ≥ 2 de 3 = alta confianza; empate = sin pre-etiqueta.</t>
  </si>
  <si>
    <t>Desempatar hacia la etiqueta escasa amplificaba al juez más ruidoso.</t>
  </si>
  <si>
    <t>prelabels_pool.jsonl</t>
  </si>
  <si>
    <t>Extensión del pool</t>
  </si>
  <si>
    <t>Lote de pistas de Basis sobre el corpus piloto y lote de categorías raras sobre cs.LG, cs.CL y cs.DS (mismo A1 y mismos jueces).</t>
  </si>
  <si>
    <t>Basis, Further Reading, IM y Originator quedaban por debajo de 2.000.</t>
  </si>
  <si>
    <t>pool_v11.1_ext/</t>
  </si>
  <si>
    <t>A3</t>
  </si>
  <si>
    <t>Guía y calibraciones</t>
  </si>
  <si>
    <t>Guía de anotación (rev3.1) con reglas de desempate; calib30 (κ 0,47) y calib2 como compuerta (16/16 parejas ≥ 0,6).</t>
  </si>
  <si>
    <t>Alinear a los 8 anotadores antes de los conjuntos de prueba.</t>
  </si>
  <si>
    <t>guia rev3.1; calib2_report.md</t>
  </si>
  <si>
    <t>Muestreo de los conjuntos de prueba</t>
  </si>
  <si>
    <t>Mitades A/B por hash del artículo citante (semilla LCR-G14G15-A3-2026); solo alta confianza y elegibles; por celda 330 activos + 30 reserva + 30 búfer; ≤ 2 por artículo citante y 1 por grupo.</t>
  </si>
  <si>
    <t>Dos conjuntos disjuntos (uno por grupo), estratificados por categoría.</t>
  </si>
  <si>
    <t>sample_round*.jsonl, manifest_*.json</t>
  </si>
  <si>
    <t>Anotación</t>
  </si>
  <si>
    <t>Lotes de 55 en Google Sheets; cada paquete lo anotan un miembro de cada grupo, con la pre-etiqueta visible (confirmar o corregir); liberación por olas.</t>
  </si>
  <si>
    <t>Paso ciego eliminado por tiempo (≈ 1,6 min por paquete).</t>
  </si>
  <si>
    <t>_admin/annotations/</t>
  </si>
  <si>
    <t>Adjudicación y reposición (planeado)</t>
  </si>
  <si>
    <t>Desacuerdos e «unclear» van a una pareja asignada por paquete; las celdas con déficit reciben ceil(1,1 × déficit) de la reserva y luego del búfer.</t>
  </si>
  <si>
    <t>Garantizar 330 oros válidos por celda.</t>
  </si>
  <si>
    <t>test_set_gold.jsonl, iaa_report.md</t>
  </si>
  <si>
    <t>A4 (prep.)</t>
  </si>
  <si>
    <t>Aislamiento y conjunto de entrenamiento v1</t>
  </si>
  <si>
    <t>Cada grupo excluye los artículos de su propio conjunto de prueba (V0), opcionalmente también los citados (V1) o cualquier rol (V2); entrenamiento v1 = alta confianza menos la lista.</t>
  </si>
  <si>
    <t>Lectura de la propuesta §3 sobre ambos documentos del par; costo medido antes de decidir.</t>
  </si>
  <si>
    <t>_admin/training/</t>
  </si>
  <si>
    <t>Corpus: piloto y extensión</t>
  </si>
  <si>
    <t>Después de limpieza (v1)</t>
  </si>
  <si>
    <t>Medida</t>
  </si>
  <si>
    <t>Piloto</t>
  </si>
  <si>
    <t>Extensión</t>
  </si>
  <si>
    <t>Categorías primarias citantes</t>
  </si>
  <si>
    <t>cs.CV, cs.SI, cs.HC, cs.CY, cs.ET</t>
  </si>
  <si>
    <t>cs.LG, cs.CL, cs.DS</t>
  </si>
  <si>
    <t>Contextos de cita (tras limpieza)</t>
  </si>
  <si>
    <t>Artículos citantes</t>
  </si>
  <si>
    <t>Artículos citados</t>
  </si>
  <si>
    <t>Extensión: 12.839 compartidos con el piloto (chunks reutilizados), 18.607 nuevos</t>
  </si>
  <si>
    <t>Chunks</t>
  </si>
  <si>
    <t>Extensión: todos los citados de la extensión, incluidos los compartidos</t>
  </si>
  <si>
    <t>Palabras por chunk: media (mediana)</t>
  </si>
  <si>
    <t>134,3 (125)</t>
  </si>
  <si>
    <t>122,1 (106)</t>
  </si>
  <si>
    <t>Tokens separados por espacios del texto almacenado (marcadores {{cite:…}} cuentan como una palabra); p5–p95: 27–277 piloto, 23–278 extensión. Conteo directo 24 oct (CH)</t>
  </si>
  <si>
    <t>Pares citante→citado (filas A1)</t>
  </si>
  <si>
    <t>Un contexto representativo por par</t>
  </si>
  <si>
    <t>Pares citados más de una vez</t>
  </si>
  <si>
    <t>Grupos de co-cita</t>
  </si>
  <si>
    <t>16,3 % con más de un miembro; 34,0 % de las filas en grupos múltiples</t>
  </si>
  <si>
    <t>Piloto: 472 filas (0,04 %)</t>
  </si>
  <si>
    <t>Chunks de trabajos relacionados (lista de exclusión norw)</t>
  </si>
  <si>
    <t>Chunks restantes (candidatos de A1 norw)</t>
  </si>
  <si>
    <t>Excepto 14 / 13 artículos citados con &lt; 3 chunks, que conservan todos (respaldo)</t>
  </si>
  <si>
    <t>Palabras por chunk de trabajos relacionados: media (mediana)</t>
  </si>
  <si>
    <t>156,1 (155)</t>
  </si>
  <si>
    <t>154,5 (153)</t>
  </si>
  <si>
    <t>Reconstrucción por localizadores (muestra)</t>
  </si>
  <si>
    <t>300/300 contextos y chunks</t>
  </si>
  <si>
    <t>verificada</t>
  </si>
  <si>
    <t>Filas por categoría citante (piloto): cs.CV 1.088.715 · cs.SI 14.836 · cs.HC 4.750 · cs.CY 3.035 · cs.ET 2.177 (97,8 % cs.CV). La extensión solo se usó para el lote de categorías raras; no se juzgó completa.</t>
  </si>
  <si>
    <t>A1 · Recuperación densa Top-3 (SciBERT)</t>
  </si>
  <si>
    <t>Similitud coseno contra los chunks del propio artículo citado</t>
  </si>
  <si>
    <t>Configuración</t>
  </si>
  <si>
    <t>Valor</t>
  </si>
  <si>
    <t>Modelo</t>
  </si>
  <si>
    <t>allenai/scibert_scivocab_uncased (revisión fija)</t>
  </si>
  <si>
    <t>Representación</t>
  </si>
  <si>
    <t>mean pooling con máscara, L2, coseno</t>
  </si>
  <si>
    <t>Candidatos</t>
  </si>
  <si>
    <t>solo chunks del artículo citado (conjunto cerrado)</t>
  </si>
  <si>
    <t>Corridas</t>
  </si>
  <si>
    <t>Corrida</t>
  </si>
  <si>
    <t>Chunks embebidos</t>
  </si>
  <si>
    <t>Pares recuperados (Top-3)</t>
  </si>
  <si>
    <t>Contextos truncados</t>
  </si>
  <si>
    <t>Artículos con &lt; 3 chunks tras norw (respaldo)</t>
  </si>
  <si>
    <t>Filtro norw: sesgo del Top-1 hacia trabajos relacionados</t>
  </si>
  <si>
    <t>Auditoría de secciones, piloto antes de norw (top3chunks_audit.json)</t>
  </si>
  <si>
    <t>Top-1 (filas)</t>
  </si>
  <si>
    <t>% del Top-1</t>
  </si>
  <si>
    <t>Chunks en el grupo</t>
  </si>
  <si>
    <t>% de los chunks</t>
  </si>
  <si>
    <t>Sobre-representación</t>
  </si>
  <si>
    <t>Trabajos relacionados · sección propia o padre (regla de la lista)</t>
  </si>
  <si>
    <t>Introducción · sección propia o padre</t>
  </si>
  <si>
    <t>Trabajos relacionados · solo encabezado propio</t>
  </si>
  <si>
    <t>Introducción · solo encabezado propio</t>
  </si>
  <si>
    <t>Fuente: a1/top3chunks_audit.json (modo parent-aware; incluye también el conteo por encabezado propio). La lista de exclusión usa la regla «sección propia o padre»: un chunk de «2.1 Object Detection» dentro de «2 Related Work» cuenta como trabajos relacionados; el encabezado propio subcuenta. Las cifras registradas el 9 oct (26,8 % del Top-1 vs. 4,6 % de los chunks, 5,8×) corresponden a la definición por encabezado propio de una corrida anterior; para el informe se usa la regla de la lista: 31,6 % vs. 8,55 % (3,7×). Sin norw, el 51,9 % de las filas tenía al menos un chunk de trabajos relacionados en su Top-3 y el 5,7 % los tres. 230 artículos citados quedan con 1–4 chunks sin trabajos relacionados. Extensión: 77.052 de 1.574.790 chunks en la lista (4,89 %).</t>
  </si>
  <si>
    <t>Efecto en A2</t>
  </si>
  <si>
    <t>Efecto de norw y de los chunks en las etiquetas</t>
  </si>
  <si>
    <t>Instancias cuyo Top-3 cambió con norw (por lote)</t>
  </si>
  <si>
    <t>38–53 %</t>
  </si>
  <si>
    <t>Etiquetas primarias que cambiaron con norw (por juez)</t>
  </si>
  <si>
    <t>1,4–5,9 %</t>
  </si>
  <si>
    <t>Etiquetas del trío que cambiaron (pool_cue_yield, 885)</t>
  </si>
  <si>
    <t>4,2 %</t>
  </si>
  <si>
    <t>eval60 con prompt v11.1 (aciertos /60, adjudicado)</t>
  </si>
  <si>
    <t>48</t>
  </si>
  <si>
    <t>… sin chunks (v11.1-nopass)</t>
  </si>
  <si>
    <t>49</t>
  </si>
  <si>
    <t>… prompt consciente de chunks (v12, rechazado)</t>
  </si>
  <si>
    <t>47</t>
  </si>
  <si>
    <t>Similitud coseno por rango (a1_score_stats.py, 24 oct; docs/a1_scores/)</t>
  </si>
  <si>
    <t>n</t>
  </si>
  <si>
    <t>Media</t>
  </si>
  <si>
    <t>p5</t>
  </si>
  <si>
    <t>Mediana</t>
  </si>
  <si>
    <t>p95</t>
  </si>
  <si>
    <t>Piloto, sin filtro (v1)</t>
  </si>
  <si>
    <t>Coseno Top-1</t>
  </si>
  <si>
    <t>Coseno Top-2</t>
  </si>
  <si>
    <t>Coseno Top-3</t>
  </si>
  <si>
    <t>Brecha Top-1 − Top-2</t>
  </si>
  <si>
    <t>Brecha Top-1 − Top-3</t>
  </si>
  <si>
    <t>Piloto, norw (usado en A2)</t>
  </si>
  <si>
    <t>Extensión, norw</t>
  </si>
  <si>
    <t>Ninguna fila tiene menos de 3 chunks en las tres corridas. Mínimos del Top-1: 0,43 (piloto) y 0,34 (extensión); por debajo de 0,80 hay 0,4 % (piloto v1), 0,6 % (piloto norw) y 0,7 % (extensión) de las filas (pestaña A1_histograma). Los puntajes de SciBERT sin ajuste están comprimidos (anisotropía): la brecha mediana entre el 1.º y el 3.º chunk es ≈ 0,013, así que el coseno ordena pero no mide relevancia por sí solo.</t>
  </si>
  <si>
    <t>Efecto del filtro norw en la sección del Top-1</t>
  </si>
  <si>
    <t>Sección del chunk Top-1 (encabezado propio)</t>
  </si>
  <si>
    <t>Piloto v1</t>
  </si>
  <si>
    <t>Piloto norw</t>
  </si>
  <si>
    <t>Extensión norw</t>
  </si>
  <si>
    <t>introduction</t>
  </si>
  <si>
    <t>a1_score_stats.md</t>
  </si>
  <si>
    <t>related work / related works / prior work</t>
  </si>
  <si>
    <t>conclusion / conclusions</t>
  </si>
  <si>
    <t>experiments / results</t>
  </si>
  <si>
    <t>Con norw desaparecen los encabezados de trabajos relacionados del Top-1 (24,6 % → fuera de los 15 más frecuentes) y la introducción pasa de 29,0 % a 46,8 %. El coseno medio del Top-1 baja levemente (0,9195 → 0,9148): los chunks de trabajos relacionados eran los más parecidos al contexto citante por estilo (también describen trabajos ajenos), no los más informativos sobre el aporte del citado. Vacío = no aparece entre las 15 secciones más frecuentes. Los demás encabezados frecuentes son secciones de artículos muy citados (p. ej. ResNet, Adam), porque la estadística es por par.</t>
  </si>
  <si>
    <t>Pendiente</t>
  </si>
  <si>
    <t>A1 · Distribución del coseno Top-1</t>
  </si>
  <si>
    <t>Proporción de filas por intervalo de 0,01 (bajo 0,80 agregado)</t>
  </si>
  <si>
    <t>Intervalo (inferior)</t>
  </si>
  <si>
    <t>&lt; 0,80</t>
  </si>
  <si>
    <t>0.80</t>
  </si>
  <si>
    <t>0.81</t>
  </si>
  <si>
    <t>0.82</t>
  </si>
  <si>
    <t>0.83</t>
  </si>
  <si>
    <t>0.84</t>
  </si>
  <si>
    <t>0.85</t>
  </si>
  <si>
    <t>0.86</t>
  </si>
  <si>
    <t>0.87</t>
  </si>
  <si>
    <t>0.88</t>
  </si>
  <si>
    <t>0.89</t>
  </si>
  <si>
    <t>0.90</t>
  </si>
  <si>
    <t>0.91</t>
  </si>
  <si>
    <t>0.92</t>
  </si>
  <si>
    <t>0.93</t>
  </si>
  <si>
    <t>0.94</t>
  </si>
  <si>
    <t>0.95</t>
  </si>
  <si>
    <t>0.96</t>
  </si>
  <si>
    <t>0.97</t>
  </si>
  <si>
    <t>0.98</t>
  </si>
  <si>
    <t>0.99</t>
  </si>
  <si>
    <t>Total</t>
  </si>
  <si>
    <t>A2 · Selección de jueces y prompt</t>
  </si>
  <si>
    <t>eval60: 41 instancias puntuadas (acuerdo entre equipos), prompt v8</t>
  </si>
  <si>
    <t>Aciertos sobre 41 (P09)</t>
  </si>
  <si>
    <t>Juez / trío</t>
  </si>
  <si>
    <t>Chunks originales</t>
  </si>
  <si>
    <t>Chunks filtrados (norw)</t>
  </si>
  <si>
    <t>Prompt v10</t>
  </si>
  <si>
    <t>Nota</t>
  </si>
  <si>
    <t>Qwen3.8-27B</t>
  </si>
  <si>
    <t>gemma-4-26B-A4B-it</t>
  </si>
  <si>
    <t>MoE, 4B activos</t>
  </si>
  <si>
    <t>Mistral-Small-3.2-24B</t>
  </si>
  <si>
    <t>Ministral-3-14B</t>
  </si>
  <si>
    <t>Olmo-3.1-32B (familia alternativa)</t>
  </si>
  <si>
    <t>No adoptado</t>
  </si>
  <si>
    <t>Trío Qwen + Gemma + Mistral Small</t>
  </si>
  <si>
    <t>Trío congelado (D, 13 oct)</t>
  </si>
  <si>
    <t>Trío Qwen + Gemma + Ministral</t>
  </si>
  <si>
    <t>Trío original (Llama 3.1 8B, Qwen 2.5 7B, Mistral 7B)</t>
  </si>
  <si>
    <t>Trío de la propuesta</t>
  </si>
  <si>
    <t>eval60 son casos difíciles por diseño (30 de 60 vienen de pistas de categorías raras y 20 se eligieron por errores del trío original): la exactitud no es la del pool.</t>
  </si>
  <si>
    <t>Acuerdo entre jueces</t>
  </si>
  <si>
    <t>Trío (prompt v8, sin etiquetas)</t>
  </si>
  <si>
    <t>Fleiss κ entre jueces</t>
  </si>
  <si>
    <t>Alta confianza /60</t>
  </si>
  <si>
    <t>Alta confianza categorías raras</t>
  </si>
  <si>
    <t>Original 7–8B</t>
  </si>
  <si>
    <t>Qwen3.8 + Gemma 4 + Mistral Small 3.2</t>
  </si>
  <si>
    <t>Qwen3.8 + Gemma 4 + Ministral 3</t>
  </si>
  <si>
    <t>Historia del prompt (A2O, P15)</t>
  </si>
  <si>
    <t>Versión del prompt</t>
  </si>
  <si>
    <t>Cambio principal</t>
  </si>
  <si>
    <t>Resultado</t>
  </si>
  <si>
    <t>v2–v8</t>
  </si>
  <si>
    <t>Reglas Background/Basis, cita de evidencia, aclaraciones de Lyu et al. (2021) para las 9 categorías, oración objetivo aparte, qué no es Evidence</t>
  </si>
  <si>
    <t>κ del trío original 0,22 → 0,33 (300 aleatorias)</t>
  </si>
  <si>
    <t>v9</t>
  </si>
  <si>
    <t>Información del artículo citante</t>
  </si>
  <si>
    <t>Rechazado: −1 instancia; los humanos siguieron el título de sección</t>
  </si>
  <si>
    <t>v10</t>
  </si>
  <si>
    <t>Regla de Gap reescrita</t>
  </si>
  <si>
    <t>Paso intermedio</t>
  </si>
  <si>
    <t>v11.1</t>
  </si>
  <si>
    <t>v8 + reglas rev1.1 adjudicadas por ambos equipos (R0, R-EV, R-FR, R-GAP, R-IM, R-CMP)</t>
  </si>
  <si>
    <t>Congelado: 48/60 adjudicado</t>
  </si>
  <si>
    <t>v12</t>
  </si>
  <si>
    <t>Consciente de los chunks</t>
  </si>
  <si>
    <t>Rechazado: 47/60, 2 rotas</t>
  </si>
  <si>
    <t>A2 · Corrida de producción y pools</t>
  </si>
  <si>
    <t>Trío congelado, prompt v11.1, vLLM 0.29.0, A100</t>
  </si>
  <si>
    <t>Re-juicio de producción: 28.553 instancias</t>
  </si>
  <si>
    <t>Juez (revisión fijada)</t>
  </si>
  <si>
    <t>Tiempo (h)</t>
  </si>
  <si>
    <t>Velocidad (inst/s)</t>
  </si>
  <si>
    <t>Respuestas fallidas</t>
  </si>
  <si>
    <t>Qwen3.8-27B (1d4bf0f2ff)</t>
  </si>
  <si>
    <t>gemma-4-26B-A4B-it (4d7ae4984b)</t>
  </si>
  <si>
    <t>Mistral-Small-3.2-24B (95a6d26c4b)</t>
  </si>
  <si>
    <t>Lotes juzgados</t>
  </si>
  <si>
    <t>Lote</t>
  </si>
  <si>
    <t>Instancias</t>
  </si>
  <si>
    <t>Muestreo</t>
  </si>
  <si>
    <t>pilot_random_1500</t>
  </si>
  <si>
    <t>aleatorio</t>
  </si>
  <si>
    <t>pool_single_7000</t>
  </si>
  <si>
    <t>aleatorio, solo citas únicas</t>
  </si>
  <si>
    <t>pool_cue_yield</t>
  </si>
  <si>
    <t>300 pistas c/u Evidence, Gap, Comparison</t>
  </si>
  <si>
    <t>pool_cue_eg</t>
  </si>
  <si>
    <t>pistas Evidence + Gap</t>
  </si>
  <si>
    <t>pool_cue_cmp</t>
  </si>
  <si>
    <t>pistas Comparison (≈)</t>
  </si>
  <si>
    <t>pool_cue_rare</t>
  </si>
  <si>
    <t>pistas FR, Originator, IM (todas)</t>
  </si>
  <si>
    <t>pool_cue_basis (extensión)</t>
  </si>
  <si>
    <t>pistas Basis, corpus piloto</t>
  </si>
  <si>
    <t>pool_ext_cue_rare (extensión)</t>
  </si>
  <si>
    <t>pistas FR, Originator, IM en cs.LG/CL/DS</t>
  </si>
  <si>
    <t>Pools (conteo directo de los archivos, 24 oct: PC)</t>
  </si>
  <si>
    <t>Pool</t>
  </si>
  <si>
    <t>Alta confianza</t>
  </si>
  <si>
    <t>% alta confianza</t>
  </si>
  <si>
    <t>Sin pre-etiqueta (empates)</t>
  </si>
  <si>
    <t>Alta confianza y elegible para prueba</t>
  </si>
  <si>
    <t>pool_v11.1 (ronda 1)</t>
  </si>
  <si>
    <t>pool_v11.1_ext (ronda 2 y A4)</t>
  </si>
  <si>
    <t>Verificado el 24 oct con pool_counts.py sobre prelabels_pool.jsonl; sha256 iguales a los manifiestos (b872650a…ab4e0 y 8fff518f…98c14). Al cerrar A2 (17 oct) pool_v11.1 tenía 29.363 instancias y 28.212 de alta confianza; el 18 oct se retiraron las 27 de calib2 (todas de alta confianza). 6 filas por pool no son de alta confianza ni empate (otro motivo sin voto). El pool extendido copia pool_v11.1 byte a byte y agrega 9.444 instancias. «Elegible para prueba» excluye las filas de los 117 artículos de calibración.</t>
  </si>
  <si>
    <t>Calidad del pool_v11.1</t>
  </si>
  <si>
    <t>Consistencia (300 juzgadas dos veces)</t>
  </si>
  <si>
    <t>294/300</t>
  </si>
  <si>
    <t>Fleiss κ entre jueces (re-juicio)</t>
  </si>
  <si>
    <t>0,67</t>
  </si>
  <si>
    <t>Los tres jueces coinciden</t>
  </si>
  <si>
    <t>63 %</t>
  </si>
  <si>
    <t>Citas de evidencia tomadas del párrafo citante</t>
  </si>
  <si>
    <t>&gt; 99 %</t>
  </si>
  <si>
    <t>Señal multi-etiqueta</t>
  </si>
  <si>
    <t>19,9 % (impulsada por Gemma)</t>
  </si>
  <si>
    <t>Instancias aptas para demo (ambas licencias permisivas)</t>
  </si>
  <si>
    <t>417 (ext: 521)</t>
  </si>
  <si>
    <t>A2 · Rendimiento por estrato</t>
  </si>
  <si>
    <t>Por qué se necesitó muestreo dirigido</t>
  </si>
  <si>
    <t>Muestreo aleatorio</t>
  </si>
  <si>
    <t>Categoría (pool_single_7000)</t>
  </si>
  <si>
    <t>Juzgadas</t>
  </si>
  <si>
    <t>Rendimiento</t>
  </si>
  <si>
    <t>Basis</t>
  </si>
  <si>
    <t>Application</t>
  </si>
  <si>
    <t>Improvement/Modification</t>
  </si>
  <si>
    <t>Identification of the Originator</t>
  </si>
  <si>
    <t>Further Reading</t>
  </si>
  <si>
    <t>Al ritmo del trío (≈ 3.300 instancias/h), cerrar la brecha por muestreo aleatorio costaba ≈ 17 h de GPU para Basis, ≈ 16 h para Originator, ≈ 31 h para IM e inviable para Further Reading (≈ 490.000 instancias).</t>
  </si>
  <si>
    <t>Muestreo por frases-pista</t>
  </si>
  <si>
    <t>Lote dirigido</t>
  </si>
  <si>
    <t>Categoría de la pista</t>
  </si>
  <si>
    <t>Rendimiento en su categoría</t>
  </si>
  <si>
    <t>Alta confianza en su categoría</t>
  </si>
  <si>
    <t>pool_cue_rare (piloto)</t>
  </si>
  <si>
    <t>pool_cue_basis (piloto)</t>
  </si>
  <si>
    <t>pool_ext_cue_rare</t>
  </si>
  <si>
    <t>pool_cue_basis también dio Application 1.886, Background 376 e IM 261 de alta confianza. El rendimiento de FR en la extensión es menor porque en cs.DS dominan los punteros a listas («see [1–5]»), que la regla R-FR manda a Background. Las pistas de IM son raras en todas las subcategorías (≈ 9 por 10.000 pares).</t>
  </si>
  <si>
    <t>Oferta por categoría vs. meta de 2.000</t>
  </si>
  <si>
    <t>Instancias de alta confianza por pool (conteo directo, 24 oct)</t>
  </si>
  <si>
    <t>Categoría</t>
  </si>
  <si>
    <t>pool_v11.1, elegible</t>
  </si>
  <si>
    <t>pool_v11.1_ext, elegible</t>
  </si>
  <si>
    <t>pool_v11.1_ext, toda</t>
  </si>
  <si>
    <t>Meta propuesta</t>
  </si>
  <si>
    <t>Faltante vs. 2.000 (ext, elegible)</t>
  </si>
  <si>
    <t>Meta de entrenamiento ajustada</t>
  </si>
  <si>
    <t>Background</t>
  </si>
  <si>
    <t>Comparison</t>
  </si>
  <si>
    <t>Evidence</t>
  </si>
  <si>
    <t>Gap</t>
  </si>
  <si>
    <t>Fuente: conteo directo de los archivos del pool, 24 oct (PC). «Elegible» = alta confianza y test_eligible (sin los 117 artículos de calibración): es la oferta para muestrear los conjuntos de prueba. «Toda» = toda la alta confianza del pool extendido: es la oferta para entrenamiento antes de la lista de exclusión de cada grupo, y define las metas ajustadas de FR, Originator e IM (D-188). La extensión adicional del corpus queda como trabajo futuro; IM no sube con extensión.</t>
  </si>
  <si>
    <t>Calibraciones y acuerdo humano</t>
  </si>
  <si>
    <t>Datos de desarrollo: excluidos de A4 y de ambos conjuntos de prueba</t>
  </si>
  <si>
    <t>Ejercicio</t>
  </si>
  <si>
    <t>Ítems</t>
  </si>
  <si>
    <t>Anotadores</t>
  </si>
  <si>
    <t>κ</t>
  </si>
  <si>
    <t>Detalle</t>
  </si>
  <si>
    <t>eval60</t>
  </si>
  <si>
    <t>2 equipos</t>
  </si>
  <si>
    <t>Cohen κ entre equipos (etiqueta ciega). 41 acordados; 19 difíciles adjudicados con reglas rev1.1. Con información del artículo citante el acuerdo bajó de 41 a 32 → los anotadores no la ven.</t>
  </si>
  <si>
    <t>calib30</t>
  </si>
  <si>
    <t>Fleiss κ (1.ª mitad 0,42 · 2.ª 0,51). Cohen por pareja: media 0,47, rango 0,32–0,66, 3 de 21 ≥ 0,6. Voto mayoritario vs. clave 24/30. ≈ 5 min por ítem en grupo.</t>
  </si>
  <si>
    <t>calib2 (compuerta)</t>
  </si>
  <si>
    <t>Fleiss κ. 16/16 parejas entre grupos ≥ 0,6 (mínimo 0,71, media 0,87). 16 de 216 respuestas corrigieron la pre-etiqueta. Mediana 1,7 min por paquete.</t>
  </si>
  <si>
    <t>A3 · Diseño de los conjuntos de prueba</t>
  </si>
  <si>
    <t>Contrato de datos y guía rev3.1</t>
  </si>
  <si>
    <t>Parámetro</t>
  </si>
  <si>
    <t>Semilla de partición y muestreo</t>
  </si>
  <si>
    <t>LCR-G14G15-A3-2026</t>
  </si>
  <si>
    <t>Conjuntos</t>
  </si>
  <si>
    <t>T_A (grupo 14) y T_B (grupo 15), mitades por hash del artículo citante</t>
  </si>
  <si>
    <t>Elegibilidad</t>
  </si>
  <si>
    <t>alta confianza y test_eligible (fuera los 117 artículos de calibración)</t>
  </si>
  <si>
    <t>Límites por conjunto</t>
  </si>
  <si>
    <t>≤ 2 por artículo citante; ≤ 1 por grupo de co-cita</t>
  </si>
  <si>
    <t>Por celda (conjunto × categoría)</t>
  </si>
  <si>
    <t>330 activos + 30 reserva + 30 búfer</t>
  </si>
  <si>
    <t>Orden de llenado</t>
  </si>
  <si>
    <t>categoría más escasa primero, orden hash fijo</t>
  </si>
  <si>
    <t>Ronda 1</t>
  </si>
  <si>
    <t>Background, Comparison, Gap, Evidence, Application, Originator (pool_v11.1)</t>
  </si>
  <si>
    <t>Ronda 2</t>
  </si>
  <si>
    <t>Basis, Improvement/Modification, Further Reading (pool_v11.1_ext)</t>
  </si>
  <si>
    <t>Paquetes</t>
  </si>
  <si>
    <t>P0001–P4320 (ronda 1), P4321–P6480 (ronda 2); búfer liberado desde P6481</t>
  </si>
  <si>
    <t>Lotes</t>
  </si>
  <si>
    <t>55 paquetes, un conjunto por lote, categorías mezcladas</t>
  </si>
  <si>
    <t>8 (G14-01…04, G15-01…04); cada paquete: uno de cada grupo</t>
  </si>
  <si>
    <t>Protocolo</t>
  </si>
  <si>
    <t>pre-etiqueta visible; confirmar o corregir; etiqueta primaria + 0–2 secundarias + confianza</t>
  </si>
  <si>
    <t>Herramienta</t>
  </si>
  <si>
    <t>Google Sheets, una hoja por anotador y lote</t>
  </si>
  <si>
    <t>Acuerdo</t>
  </si>
  <si>
    <t>Cohen κ sobre primary_label antes de adjudicar + tasa de corrección</t>
  </si>
  <si>
    <t>Adjudicación</t>
  </si>
  <si>
    <t>pareja asignada por paquete (uno por grupo, no anotadores del paquete)</t>
  </si>
  <si>
    <t>Reposición</t>
  </si>
  <si>
    <t>ceil(1,1 × déficit) por celda, de reserva y luego búfer</t>
  </si>
  <si>
    <t>Verificación del 15 % (propuesta §3)</t>
  </si>
  <si>
    <t>Celdas (2 conjuntos × 9 categorías)</t>
  </si>
  <si>
    <t>Paquetes activos por celda</t>
  </si>
  <si>
    <t>Paquetes activos en total</t>
  </si>
  <si>
    <t>Instancias en pool_v11.1_ext</t>
  </si>
  <si>
    <t>Instancias de alta confianza en pool_v11.1_ext</t>
  </si>
  <si>
    <t>Fracción del pool</t>
  </si>
  <si>
    <t>Fracción de la alta confianza</t>
  </si>
  <si>
    <t>A3 · Rondas, olas y carga</t>
  </si>
  <si>
    <t>Estado al 23 de octubre</t>
  </si>
  <si>
    <t>Ronda</t>
  </si>
  <si>
    <t>Ola</t>
  </si>
  <si>
    <t>Hojas</t>
  </si>
  <si>
    <t>8 (4 por conjunto)</t>
  </si>
  <si>
    <t>Completa 21 oct (880/880)</t>
  </si>
  <si>
    <t>64</t>
  </si>
  <si>
    <t>Compartida 19 oct · entrega 26 oct</t>
  </si>
  <si>
    <t>8: L077, L085, L091, L093, L094, L096, L097, L101</t>
  </si>
  <si>
    <t>Lanzamiento 26 oct</t>
  </si>
  <si>
    <t>24 (resto de L073–L104)</t>
  </si>
  <si>
    <t>Tras la ola 1</t>
  </si>
  <si>
    <t>4 diferidos + reposición de ronda 1, desde L105</t>
  </si>
  <si>
    <t>Tras adjudicar la ronda 1</t>
  </si>
  <si>
    <t>Reposición de ronda 2</t>
  </si>
  <si>
    <t>Tras adjudicar la ronda 2</t>
  </si>
  <si>
    <t>Carga por persona</t>
  </si>
  <si>
    <t>Min/paquete</t>
  </si>
  <si>
    <t>Horas</t>
  </si>
  <si>
    <t>Ronda 1 (18 lotes: 9 propios + 9 del otro conjunto)</t>
  </si>
  <si>
    <t>Ronda 2, olas 1–2 (8 lotes: 4 + 4)</t>
  </si>
  <si>
    <t>Cada pareja G14–G15 comparte 6–7 lotes en ambas rondas. La ola 3 equilibra los totales (simulación: 27–28 lotes por persona en ambas rondas).</t>
  </si>
  <si>
    <t>A3 · Ronda 1, ola 1</t>
  </si>
  <si>
    <t>880 anotaciones (8 lotes, 16 hojas); κ de la ronda se calcula tras la ola 2</t>
  </si>
  <si>
    <t>Proporción</t>
  </si>
  <si>
    <t>Anotaciones que cambiaron la pre-etiqueta</t>
  </si>
  <si>
    <t>Paquetes con al menos una corrección</t>
  </si>
  <si>
    <t>Paquetes con ambas anotaciones corrigiendo</t>
  </si>
  <si>
    <t>Minutos totales / anotaciones</t>
  </si>
  <si>
    <t>Categoría (pre-etiqueta)</t>
  </si>
  <si>
    <t>Tasa de corrección</t>
  </si>
  <si>
    <t>Celdas extremas: A·Comparison 19,4 %, B·Gap 22,2 %, A·Background 12,2 %; A·Evidence 0,0 %, B·Application 1,3 %. Por anotador: 0,0 %–16,4 % (media 8,1 %); el caso de 0 de 110 no es concluyente en la comparación pareada y se revisa tras la ola 2. Calib2 tuvo 7,4 %. Carga esperada de adjudicación: ≈ 10–13 % de los paquetes.</t>
  </si>
  <si>
    <t>pendiente — Cohen κ por pareja y por categoría, Krippendorff α (iaa_report.md) tras la ola 2</t>
  </si>
  <si>
    <t>Filas de alta confianza en entrenamiento + propio conjunto de prueba, grupo 14 (grupo 15 a pocas filas)</t>
  </si>
  <si>
    <t>V0</t>
  </si>
  <si>
    <t>V1</t>
  </si>
  <si>
    <t>V2</t>
  </si>
  <si>
    <t>Meta</t>
  </si>
  <si>
    <t>V0 ≥ meta</t>
  </si>
  <si>
    <t>Pérdida V0→V1</t>
  </si>
  <si>
    <t>V0: se excluyen los artículos citantes del propio conjunto de prueba (mínimo común). V1: además los artículos citados de las instancias de prueba propias. V2: además cualquier rol. V1 quita ≈ 14.600 filas más que V0 (≈ 40 % del pool), sobre todo herramientas estándar citadas en ambos conjuntos (ResNet ≈ 965 filas, U-Net, Adam, Faster R-CNN…; los 10 primeros explican solo ≈ 20 %). V2 agrega ≈ 1.200. La partición de validación agrupada cuesta otro 15–20 % bajo V1/V2. Fuente: P23b, D-210.</t>
  </si>
  <si>
    <t>Paquetes de prueba activos (V0)</t>
  </si>
  <si>
    <t>Con citado «visto»</t>
  </si>
  <si>
    <t>% visto</t>
  </si>
  <si>
    <t>Sin ver</t>
  </si>
  <si>
    <t>Grupo 14 (T_A)</t>
  </si>
  <si>
    <t>Grupo 15 (T_B)</t>
  </si>
  <si>
    <t>«Visto» = el artículo citado también aparece citado en entrenamiento. Se propone reportar F1 Macro por separado para vistos y no vistos (contrato §10). Conjunto de entrenamiento v1: solo filas de alta confianza del pool extendido menos la lista de exclusión del grupo, con los campos test_set, sample_status y round. Variante de cada grupo: pendiente.</t>
  </si>
  <si>
    <t>Diferencias con la propuesta</t>
  </si>
  <si>
    <t>Qué cambió, por qué y con qué efecto</t>
  </si>
  <si>
    <t>Tema</t>
  </si>
  <si>
    <t>Propuesta</t>
  </si>
  <si>
    <t>Ejecutado</t>
  </si>
  <si>
    <t>Motivo / efecto</t>
  </si>
  <si>
    <t>Jueces A2</t>
  </si>
  <si>
    <t>Llama 3 8B, Qwen 2.5 7B, Mistral (7–8B)</t>
  </si>
  <si>
    <t>Qwen3.8-27B, Gemma 4 26B-A4B, Mistral Small 3.2 24B</t>
  </si>
  <si>
    <t>El trío original acertaba 13/41 en eval60 y sobre-usaba Basis y Evidence; el nuevo 30/41.</t>
  </si>
  <si>
    <t>Entrada de los jueces</t>
  </si>
  <si>
    <t>Contexto + Top-3 (título y resumen opcionales)</t>
  </si>
  <si>
    <t>Contexto + oración objetivo + título + resumen + Top-3 con sección</t>
  </si>
  <si>
    <t>Requisito del director (contexto + 3 chunks). Medido: los jueces se apoyan en el texto citante.</t>
  </si>
  <si>
    <t>Selección del 15 % para A3</t>
  </si>
  <si>
    <t>Aleatorio por categoría sobre el pre-etiquetado</t>
  </si>
  <si>
    <t>Estratificado por categoría, solo alta confianza, dos conjuntos disjuntos por artículo citante</t>
  </si>
  <si>
    <t>Un conjunto de prueba por grupo sin solapamiento (condición del director).</t>
  </si>
  <si>
    <t>Validación humana</t>
  </si>
  <si>
    <t>Anotación independiente (κ) y luego confirmar/corregir</t>
  </si>
  <si>
    <t>Un solo paso: confirmar o corregir con la pre-etiqueta visible</t>
  </si>
  <si>
    <t>Tiempo (calib30: ≈ 5 min por ítem). Riesgo: anclaje en la pre-etiqueta; se reporta la tasa de corrección.</t>
  </si>
  <si>
    <t>Meta de 2.000 por categoría</t>
  </si>
  <si>
    <t>≥ 2.000 en las 9 categorías</t>
  </si>
  <si>
    <t>Seis categorías ≥ 2.000; FR ≈ 1.776, Originator ≈ 1.786, IM ≈ 958</t>
  </si>
  <si>
    <t>Oferta limitada aun con muestreo dirigido y extensión del corpus.</t>
  </si>
  <si>
    <t>Piloto en 5 subcategorías</t>
  </si>
  <si>
    <t>Piloto + extensión cs.LG, cs.CL, cs.DS (solo lote de raras)</t>
  </si>
  <si>
    <t>Agotadas las pistas del piloto para FR, Originator e IM.</t>
  </si>
  <si>
    <t>Sin solapamiento por par citante–citado</t>
  </si>
  <si>
    <t>V0 obligatoria; cada grupo elige V0, V1 o V2</t>
  </si>
  <si>
    <t>Lectura sobre ambos documentos del par; V1 cuesta ≈ 40 % del pool.</t>
  </si>
  <si>
    <t>Evaluación de A1</t>
  </si>
  <si>
    <t>Indirecta (F1 con/sin Top-3); métrica de similitud coseno</t>
  </si>
  <si>
    <t>Coseno calculado y resumido (pestañas A1 y A1_histograma)</t>
  </si>
  <si>
    <t>Sin etiquetas de relevancia; se agrega una revisión manual pequeña.</t>
  </si>
  <si>
    <t>Datos de desarrollo</t>
  </si>
  <si>
    <t>eval60, calib30 y calib2 (117 artículos) fuera de A4 y de las pruebas</t>
  </si>
  <si>
    <t>Las muestras validadas por humanos se reservan para prueba; estas se usaron para ajustar el proceso.</t>
  </si>
  <si>
    <t>Grupos con mas de un miembro</t>
  </si>
  <si>
    <t>16.3% / 8.78%</t>
  </si>
  <si>
    <t>34% / 18.3%</t>
  </si>
  <si>
    <t>Artículos citantes en idioma diferente al inglés (excluidos)</t>
  </si>
  <si>
    <t>218,946 (41.7%)</t>
  </si>
  <si>
    <t>69,060 (35.1%)</t>
  </si>
  <si>
    <t>Contextos en grupos con mas de un miembro</t>
  </si>
  <si>
    <t>EDA §11</t>
  </si>
  <si>
    <t xml:space="preserve">8,55 % piloto · 4,89 % extensión; asignación por sección propia o sección padre. Conteo directo 24 oct </t>
  </si>
  <si>
    <t xml:space="preserve">Más largos que el resto: 132,3 (122) piloto, 120,4 (104) extensión </t>
  </si>
  <si>
    <t>Extensión: 405.545 antes de limpieza</t>
  </si>
  <si>
    <t xml:space="preserve">Nota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</si>
</sst>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×"/>
    <numFmt numFmtId="166" formatCode="0.0000"/>
    <numFmt numFmtId="167" formatCode="0.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B2A3A"/>
      <name val="Arial"/>
      <family val="2"/>
    </font>
    <font>
      <sz val="11"/>
      <color theme="1"/>
      <name val="Arial"/>
      <family val="2"/>
    </font>
    <font>
      <i/>
      <sz val="10"/>
      <color rgb="FF4A5563"/>
      <name val="Arial"/>
      <family val="2"/>
    </font>
    <font>
      <b/>
      <sz val="11"/>
      <color rgb="FF1B2A3A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F3EC"/>
        <bgColor rgb="FFFFF2CC"/>
      </patternFill>
    </fill>
    <fill>
      <patternFill patternType="solid">
        <fgColor rgb="FFDDE5EC"/>
        <bgColor rgb="FFD9D9D9"/>
      </patternFill>
    </fill>
    <fill>
      <patternFill patternType="solid">
        <fgColor rgb="FFFFF2CC"/>
        <bgColor rgb="FFFBF3EC"/>
      </patternFill>
    </fill>
  </fills>
  <borders count="2">
    <border>
      <left/>
      <right/>
      <top/>
      <bottom/>
      <diagonal/>
    </border>
    <border>
      <left style="thin">
        <color rgb="FFC8CED4"/>
      </left>
      <right style="thin">
        <color rgb="FFC8CED4"/>
      </right>
      <top style="thin">
        <color rgb="FFC8CED4"/>
      </top>
      <bottom style="thin">
        <color rgb="FFC8CED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166" fontId="7" fillId="0" borderId="1" xfId="0" applyNumberFormat="1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0" borderId="0" xfId="0" applyFont="1"/>
    <xf numFmtId="164" fontId="6" fillId="0" borderId="0" xfId="0" applyNumberFormat="1" applyFont="1"/>
    <xf numFmtId="2" fontId="7" fillId="0" borderId="1" xfId="0" applyNumberFormat="1" applyFont="1" applyBorder="1" applyAlignment="1">
      <alignment vertical="top" wrapText="1"/>
    </xf>
    <xf numFmtId="0" fontId="6" fillId="0" borderId="1" xfId="0" applyFont="1" applyBorder="1"/>
    <xf numFmtId="2" fontId="7" fillId="0" borderId="1" xfId="0" applyNumberFormat="1" applyFont="1" applyBorder="1"/>
    <xf numFmtId="0" fontId="7" fillId="0" borderId="1" xfId="0" applyFont="1" applyBorder="1"/>
    <xf numFmtId="3" fontId="7" fillId="0" borderId="1" xfId="0" applyNumberFormat="1" applyFont="1" applyBorder="1"/>
    <xf numFmtId="3" fontId="6" fillId="0" borderId="1" xfId="0" applyNumberFormat="1" applyFont="1" applyBorder="1"/>
    <xf numFmtId="167" fontId="7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0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4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F3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4"/>
      <rgbColor rgb="FF878787"/>
      <rgbColor rgb="FF9999FF"/>
      <rgbColor rgb="FFBE4B48"/>
      <rgbColor rgb="FFFFF2CC"/>
      <rgbColor rgb="FFDDE5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4A5563"/>
      <rgbColor rgb="FF1B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Coseno Top-1 por corrida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A1_histograma!$B$4</c:f>
              <c:strCache>
                <c:ptCount val="1"/>
                <c:pt idx="0">
                  <c:v>Piloto, sin filtro (v1)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A1_histograma!$A$5:$A$25</c:f>
              <c:strCache>
                <c:ptCount val="21"/>
                <c:pt idx="0">
                  <c:v>&lt; 0,80</c:v>
                </c:pt>
                <c:pt idx="1">
                  <c:v>0.80</c:v>
                </c:pt>
                <c:pt idx="2">
                  <c:v>0.81</c:v>
                </c:pt>
                <c:pt idx="3">
                  <c:v>0.82</c:v>
                </c:pt>
                <c:pt idx="4">
                  <c:v>0.83</c:v>
                </c:pt>
                <c:pt idx="5">
                  <c:v>0.84</c:v>
                </c:pt>
                <c:pt idx="6">
                  <c:v>0.85</c:v>
                </c:pt>
                <c:pt idx="7">
                  <c:v>0.86</c:v>
                </c:pt>
                <c:pt idx="8">
                  <c:v>0.87</c:v>
                </c:pt>
                <c:pt idx="9">
                  <c:v>0.88</c:v>
                </c:pt>
                <c:pt idx="10">
                  <c:v>0.89</c:v>
                </c:pt>
                <c:pt idx="11">
                  <c:v>0.90</c:v>
                </c:pt>
                <c:pt idx="12">
                  <c:v>0.91</c:v>
                </c:pt>
                <c:pt idx="13">
                  <c:v>0.92</c:v>
                </c:pt>
                <c:pt idx="14">
                  <c:v>0.93</c:v>
                </c:pt>
                <c:pt idx="15">
                  <c:v>0.94</c:v>
                </c:pt>
                <c:pt idx="16">
                  <c:v>0.95</c:v>
                </c:pt>
                <c:pt idx="17">
                  <c:v>0.96</c:v>
                </c:pt>
                <c:pt idx="18">
                  <c:v>0.97</c:v>
                </c:pt>
                <c:pt idx="19">
                  <c:v>0.98</c:v>
                </c:pt>
                <c:pt idx="20">
                  <c:v>0.99</c:v>
                </c:pt>
              </c:strCache>
            </c:strRef>
          </c:cat>
          <c:val>
            <c:numRef>
              <c:f>A1_histograma!$B$5:$B$25</c:f>
              <c:numCache>
                <c:formatCode>0.0%</c:formatCode>
                <c:ptCount val="21"/>
                <c:pt idx="0">
                  <c:v>4.4328995088743798E-3</c:v>
                </c:pt>
                <c:pt idx="1">
                  <c:v>1.33596842464357E-3</c:v>
                </c:pt>
                <c:pt idx="2">
                  <c:v>1.86387606177091E-3</c:v>
                </c:pt>
                <c:pt idx="3">
                  <c:v>2.6204801481952999E-3</c:v>
                </c:pt>
                <c:pt idx="4">
                  <c:v>3.6210271138698699E-3</c:v>
                </c:pt>
                <c:pt idx="5">
                  <c:v>5.1971268102753302E-3</c:v>
                </c:pt>
                <c:pt idx="6">
                  <c:v>7.3754604898296798E-3</c:v>
                </c:pt>
                <c:pt idx="7">
                  <c:v>1.14386340723405E-2</c:v>
                </c:pt>
                <c:pt idx="8">
                  <c:v>1.9443009797737099E-2</c:v>
                </c:pt>
                <c:pt idx="9">
                  <c:v>3.5308825967719497E-2</c:v>
                </c:pt>
                <c:pt idx="10">
                  <c:v>6.4172223672750606E-2</c:v>
                </c:pt>
                <c:pt idx="11">
                  <c:v>0.109692346101583</c:v>
                </c:pt>
                <c:pt idx="12">
                  <c:v>0.16429552917499701</c:v>
                </c:pt>
                <c:pt idx="13">
                  <c:v>0.20379140596859599</c:v>
                </c:pt>
                <c:pt idx="14">
                  <c:v>0.191106376247587</c:v>
                </c:pt>
                <c:pt idx="15">
                  <c:v>0.12054018101324</c:v>
                </c:pt>
                <c:pt idx="16">
                  <c:v>4.4782576379849601E-2</c:v>
                </c:pt>
                <c:pt idx="17">
                  <c:v>7.97007125800199E-3</c:v>
                </c:pt>
                <c:pt idx="18">
                  <c:v>8.3855364742249595E-4</c:v>
                </c:pt>
                <c:pt idx="19">
                  <c:v>1.2387724336923199E-4</c:v>
                </c:pt>
                <c:pt idx="20">
                  <c:v>4.9550897347692902E-5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0F-F546-8DBC-F140054C0EBA}"/>
            </c:ext>
          </c:extLst>
        </c:ser>
        <c:ser>
          <c:idx val="1"/>
          <c:order val="1"/>
          <c:tx>
            <c:strRef>
              <c:f>A1_histograma!$C$4</c:f>
              <c:strCache>
                <c:ptCount val="1"/>
                <c:pt idx="0">
                  <c:v>Piloto, norw (usado en A2)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A1_histograma!$A$5:$A$25</c:f>
              <c:strCache>
                <c:ptCount val="21"/>
                <c:pt idx="0">
                  <c:v>&lt; 0,80</c:v>
                </c:pt>
                <c:pt idx="1">
                  <c:v>0.80</c:v>
                </c:pt>
                <c:pt idx="2">
                  <c:v>0.81</c:v>
                </c:pt>
                <c:pt idx="3">
                  <c:v>0.82</c:v>
                </c:pt>
                <c:pt idx="4">
                  <c:v>0.83</c:v>
                </c:pt>
                <c:pt idx="5">
                  <c:v>0.84</c:v>
                </c:pt>
                <c:pt idx="6">
                  <c:v>0.85</c:v>
                </c:pt>
                <c:pt idx="7">
                  <c:v>0.86</c:v>
                </c:pt>
                <c:pt idx="8">
                  <c:v>0.87</c:v>
                </c:pt>
                <c:pt idx="9">
                  <c:v>0.88</c:v>
                </c:pt>
                <c:pt idx="10">
                  <c:v>0.89</c:v>
                </c:pt>
                <c:pt idx="11">
                  <c:v>0.90</c:v>
                </c:pt>
                <c:pt idx="12">
                  <c:v>0.91</c:v>
                </c:pt>
                <c:pt idx="13">
                  <c:v>0.92</c:v>
                </c:pt>
                <c:pt idx="14">
                  <c:v>0.93</c:v>
                </c:pt>
                <c:pt idx="15">
                  <c:v>0.94</c:v>
                </c:pt>
                <c:pt idx="16">
                  <c:v>0.95</c:v>
                </c:pt>
                <c:pt idx="17">
                  <c:v>0.96</c:v>
                </c:pt>
                <c:pt idx="18">
                  <c:v>0.97</c:v>
                </c:pt>
                <c:pt idx="19">
                  <c:v>0.98</c:v>
                </c:pt>
                <c:pt idx="20">
                  <c:v>0.99</c:v>
                </c:pt>
              </c:strCache>
            </c:strRef>
          </c:cat>
          <c:val>
            <c:numRef>
              <c:f>A1_histograma!$C$5:$C$25</c:f>
              <c:numCache>
                <c:formatCode>0.0%</c:formatCode>
                <c:ptCount val="21"/>
                <c:pt idx="0">
                  <c:v>6.1557460935787803E-3</c:v>
                </c:pt>
                <c:pt idx="1">
                  <c:v>1.8371948093529201E-3</c:v>
                </c:pt>
                <c:pt idx="2">
                  <c:v>2.4756390636405E-3</c:v>
                </c:pt>
                <c:pt idx="3">
                  <c:v>3.39423646831697E-3</c:v>
                </c:pt>
                <c:pt idx="4">
                  <c:v>4.8083428464703601E-3</c:v>
                </c:pt>
                <c:pt idx="5">
                  <c:v>6.9923939372571299E-3</c:v>
                </c:pt>
                <c:pt idx="6">
                  <c:v>1.01160062739059E-2</c:v>
                </c:pt>
                <c:pt idx="7">
                  <c:v>1.60525849369084E-2</c:v>
                </c:pt>
                <c:pt idx="8">
                  <c:v>2.6412534090064499E-2</c:v>
                </c:pt>
                <c:pt idx="9">
                  <c:v>4.67055323576889E-2</c:v>
                </c:pt>
                <c:pt idx="10">
                  <c:v>8.09871301073158E-2</c:v>
                </c:pt>
                <c:pt idx="11">
                  <c:v>0.12939263940477899</c:v>
                </c:pt>
                <c:pt idx="12">
                  <c:v>0.18031190384076601</c:v>
                </c:pt>
                <c:pt idx="13">
                  <c:v>0.19910694036549501</c:v>
                </c:pt>
                <c:pt idx="14">
                  <c:v>0.16384385368763499</c:v>
                </c:pt>
                <c:pt idx="15">
                  <c:v>8.8084343250500796E-2</c:v>
                </c:pt>
                <c:pt idx="16">
                  <c:v>2.8080112366188799E-2</c:v>
                </c:pt>
                <c:pt idx="17">
                  <c:v>4.6234798832885801E-3</c:v>
                </c:pt>
                <c:pt idx="18">
                  <c:v>4.9169736598864502E-4</c:v>
                </c:pt>
                <c:pt idx="19">
                  <c:v>8.5761168486391594E-5</c:v>
                </c:pt>
                <c:pt idx="20">
                  <c:v>4.1927682371124802E-5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0F-F546-8DBC-F140054C0EBA}"/>
            </c:ext>
          </c:extLst>
        </c:ser>
        <c:ser>
          <c:idx val="2"/>
          <c:order val="2"/>
          <c:tx>
            <c:strRef>
              <c:f>A1_histograma!$D$4</c:f>
              <c:strCache>
                <c:ptCount val="1"/>
                <c:pt idx="0">
                  <c:v>Extensión, norw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A1_histograma!$A$5:$A$25</c:f>
              <c:strCache>
                <c:ptCount val="21"/>
                <c:pt idx="0">
                  <c:v>&lt; 0,80</c:v>
                </c:pt>
                <c:pt idx="1">
                  <c:v>0.80</c:v>
                </c:pt>
                <c:pt idx="2">
                  <c:v>0.81</c:v>
                </c:pt>
                <c:pt idx="3">
                  <c:v>0.82</c:v>
                </c:pt>
                <c:pt idx="4">
                  <c:v>0.83</c:v>
                </c:pt>
                <c:pt idx="5">
                  <c:v>0.84</c:v>
                </c:pt>
                <c:pt idx="6">
                  <c:v>0.85</c:v>
                </c:pt>
                <c:pt idx="7">
                  <c:v>0.86</c:v>
                </c:pt>
                <c:pt idx="8">
                  <c:v>0.87</c:v>
                </c:pt>
                <c:pt idx="9">
                  <c:v>0.88</c:v>
                </c:pt>
                <c:pt idx="10">
                  <c:v>0.89</c:v>
                </c:pt>
                <c:pt idx="11">
                  <c:v>0.90</c:v>
                </c:pt>
                <c:pt idx="12">
                  <c:v>0.91</c:v>
                </c:pt>
                <c:pt idx="13">
                  <c:v>0.92</c:v>
                </c:pt>
                <c:pt idx="14">
                  <c:v>0.93</c:v>
                </c:pt>
                <c:pt idx="15">
                  <c:v>0.94</c:v>
                </c:pt>
                <c:pt idx="16">
                  <c:v>0.95</c:v>
                </c:pt>
                <c:pt idx="17">
                  <c:v>0.96</c:v>
                </c:pt>
                <c:pt idx="18">
                  <c:v>0.97</c:v>
                </c:pt>
                <c:pt idx="19">
                  <c:v>0.98</c:v>
                </c:pt>
                <c:pt idx="20">
                  <c:v>0.99</c:v>
                </c:pt>
              </c:strCache>
            </c:strRef>
          </c:cat>
          <c:val>
            <c:numRef>
              <c:f>A1_histograma!$D$5:$D$25</c:f>
              <c:numCache>
                <c:formatCode>0.0%</c:formatCode>
                <c:ptCount val="21"/>
                <c:pt idx="0">
                  <c:v>6.9422546815717497E-3</c:v>
                </c:pt>
                <c:pt idx="1">
                  <c:v>2.0750475531730898E-3</c:v>
                </c:pt>
                <c:pt idx="2">
                  <c:v>2.8125031786880401E-3</c:v>
                </c:pt>
                <c:pt idx="3">
                  <c:v>3.7279653344996998E-3</c:v>
                </c:pt>
                <c:pt idx="4">
                  <c:v>4.9333238396517204E-3</c:v>
                </c:pt>
                <c:pt idx="5">
                  <c:v>6.9778559876310896E-3</c:v>
                </c:pt>
                <c:pt idx="6">
                  <c:v>1.1153380598305399E-2</c:v>
                </c:pt>
                <c:pt idx="7">
                  <c:v>1.7632818301105701E-2</c:v>
                </c:pt>
                <c:pt idx="8">
                  <c:v>3.02967114565003E-2</c:v>
                </c:pt>
                <c:pt idx="9">
                  <c:v>5.34019590890134E-2</c:v>
                </c:pt>
                <c:pt idx="10">
                  <c:v>8.8698111096418494E-2</c:v>
                </c:pt>
                <c:pt idx="11">
                  <c:v>0.13828055863535099</c:v>
                </c:pt>
                <c:pt idx="12">
                  <c:v>0.185772700918514</c:v>
                </c:pt>
                <c:pt idx="13">
                  <c:v>0.197627935836275</c:v>
                </c:pt>
                <c:pt idx="14">
                  <c:v>0.149749265087325</c:v>
                </c:pt>
                <c:pt idx="15">
                  <c:v>7.3582813723794896E-2</c:v>
                </c:pt>
                <c:pt idx="16">
                  <c:v>2.1528618364170901E-2</c:v>
                </c:pt>
                <c:pt idx="17">
                  <c:v>3.9517449725869997E-3</c:v>
                </c:pt>
                <c:pt idx="18">
                  <c:v>6.8151071599312403E-4</c:v>
                </c:pt>
                <c:pt idx="19">
                  <c:v>1.3731932337174901E-4</c:v>
                </c:pt>
                <c:pt idx="20">
                  <c:v>3.5601306059342299E-5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30F-F546-8DBC-F140054C0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992960"/>
        <c:axId val="10003771"/>
      </c:lineChart>
      <c:catAx>
        <c:axId val="74992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Coseno Top-1 (límite inferior del intervalo)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03771"/>
        <c:crosses val="autoZero"/>
        <c:auto val="1"/>
        <c:lblAlgn val="ctr"/>
        <c:lblOffset val="100"/>
        <c:noMultiLvlLbl val="0"/>
      </c:catAx>
      <c:valAx>
        <c:axId val="10003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Proporción de filas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92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15</xdr:col>
      <xdr:colOff>364680</xdr:colOff>
      <xdr:row>19</xdr:row>
      <xdr:rowOff>49680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opLeftCell="A15" zoomScale="128" zoomScaleNormal="128" workbookViewId="0">
      <selection activeCell="A23" sqref="A23:XFD40"/>
    </sheetView>
  </sheetViews>
  <sheetFormatPr baseColWidth="10" defaultColWidth="8.6640625" defaultRowHeight="15" x14ac:dyDescent="0.2"/>
  <cols>
    <col min="1" max="1" width="22" customWidth="1"/>
    <col min="2" max="2" width="70" customWidth="1"/>
    <col min="3" max="3" width="40" customWidth="1"/>
  </cols>
  <sheetData>
    <row r="1" spans="1:3" ht="18" x14ac:dyDescent="0.2">
      <c r="A1" s="1" t="s">
        <v>0</v>
      </c>
      <c r="B1" s="2"/>
      <c r="C1" s="2"/>
    </row>
    <row r="2" spans="1:3" x14ac:dyDescent="0.2">
      <c r="A2" s="3" t="s">
        <v>1</v>
      </c>
      <c r="B2" s="2"/>
      <c r="C2" s="2"/>
    </row>
    <row r="3" spans="1:3" x14ac:dyDescent="0.2">
      <c r="A3" s="2"/>
      <c r="B3" s="2"/>
      <c r="C3" s="2"/>
    </row>
    <row r="4" spans="1:3" ht="45" customHeight="1" x14ac:dyDescent="0.2">
      <c r="A4" s="24" t="s">
        <v>2</v>
      </c>
      <c r="B4" s="24"/>
      <c r="C4" s="24"/>
    </row>
    <row r="5" spans="1:3" x14ac:dyDescent="0.2">
      <c r="A5" s="2"/>
      <c r="B5" s="2"/>
      <c r="C5" s="2"/>
    </row>
    <row r="6" spans="1:3" x14ac:dyDescent="0.2">
      <c r="A6" s="4" t="s">
        <v>3</v>
      </c>
      <c r="B6" s="2"/>
      <c r="C6" s="2"/>
    </row>
    <row r="7" spans="1:3" x14ac:dyDescent="0.2">
      <c r="A7" s="5" t="s">
        <v>4</v>
      </c>
      <c r="B7" s="5" t="s">
        <v>5</v>
      </c>
      <c r="C7" s="5" t="s">
        <v>6</v>
      </c>
    </row>
    <row r="8" spans="1:3" x14ac:dyDescent="0.2">
      <c r="A8" s="6" t="s">
        <v>7</v>
      </c>
      <c r="B8" s="6" t="s">
        <v>8</v>
      </c>
      <c r="C8" s="6" t="s">
        <v>9</v>
      </c>
    </row>
    <row r="9" spans="1:3" x14ac:dyDescent="0.2">
      <c r="A9" s="6" t="s">
        <v>10</v>
      </c>
      <c r="B9" s="6" t="s">
        <v>11</v>
      </c>
      <c r="C9" s="6" t="s">
        <v>9</v>
      </c>
    </row>
    <row r="10" spans="1:3" x14ac:dyDescent="0.2">
      <c r="A10" s="6" t="s">
        <v>12</v>
      </c>
      <c r="B10" s="6" t="s">
        <v>13</v>
      </c>
      <c r="C10" s="6" t="s">
        <v>14</v>
      </c>
    </row>
    <row r="11" spans="1:3" x14ac:dyDescent="0.2">
      <c r="A11" s="6" t="s">
        <v>15</v>
      </c>
      <c r="B11" s="6" t="s">
        <v>16</v>
      </c>
      <c r="C11" s="6" t="s">
        <v>9</v>
      </c>
    </row>
    <row r="12" spans="1:3" x14ac:dyDescent="0.2">
      <c r="A12" s="6" t="s">
        <v>17</v>
      </c>
      <c r="B12" s="6" t="s">
        <v>18</v>
      </c>
      <c r="C12" s="6" t="s">
        <v>9</v>
      </c>
    </row>
    <row r="13" spans="1:3" x14ac:dyDescent="0.2">
      <c r="A13" s="6" t="s">
        <v>19</v>
      </c>
      <c r="B13" s="6" t="s">
        <v>20</v>
      </c>
      <c r="C13" s="6" t="s">
        <v>9</v>
      </c>
    </row>
    <row r="14" spans="1:3" x14ac:dyDescent="0.2">
      <c r="A14" s="6" t="s">
        <v>21</v>
      </c>
      <c r="B14" s="6" t="s">
        <v>22</v>
      </c>
      <c r="C14" s="6" t="s">
        <v>9</v>
      </c>
    </row>
    <row r="15" spans="1:3" x14ac:dyDescent="0.2">
      <c r="A15" s="6" t="s">
        <v>23</v>
      </c>
      <c r="B15" s="6" t="s">
        <v>24</v>
      </c>
      <c r="C15" s="6" t="s">
        <v>9</v>
      </c>
    </row>
    <row r="16" spans="1:3" x14ac:dyDescent="0.2">
      <c r="A16" s="6" t="s">
        <v>25</v>
      </c>
      <c r="B16" s="6" t="s">
        <v>26</v>
      </c>
      <c r="C16" s="6" t="s">
        <v>9</v>
      </c>
    </row>
    <row r="17" spans="1:3" x14ac:dyDescent="0.2">
      <c r="A17" s="6" t="s">
        <v>27</v>
      </c>
      <c r="B17" s="6" t="s">
        <v>28</v>
      </c>
      <c r="C17" s="6" t="s">
        <v>9</v>
      </c>
    </row>
    <row r="18" spans="1:3" x14ac:dyDescent="0.2">
      <c r="A18" s="6" t="s">
        <v>29</v>
      </c>
      <c r="B18" s="6" t="s">
        <v>30</v>
      </c>
      <c r="C18" s="6" t="s">
        <v>31</v>
      </c>
    </row>
    <row r="19" spans="1:3" x14ac:dyDescent="0.2">
      <c r="A19" s="6" t="s">
        <v>32</v>
      </c>
      <c r="B19" s="6" t="s">
        <v>33</v>
      </c>
      <c r="C19" s="6" t="s">
        <v>34</v>
      </c>
    </row>
    <row r="20" spans="1:3" x14ac:dyDescent="0.2">
      <c r="A20" s="6" t="s">
        <v>35</v>
      </c>
      <c r="B20" s="6" t="s">
        <v>36</v>
      </c>
      <c r="C20" s="6" t="s">
        <v>37</v>
      </c>
    </row>
    <row r="21" spans="1:3" x14ac:dyDescent="0.2">
      <c r="A21" s="6" t="s">
        <v>38</v>
      </c>
      <c r="B21" s="6" t="s">
        <v>39</v>
      </c>
      <c r="C21" s="6" t="s">
        <v>9</v>
      </c>
    </row>
    <row r="22" spans="1:3" x14ac:dyDescent="0.2">
      <c r="A22" s="2"/>
      <c r="B22" s="2"/>
      <c r="C22" s="2"/>
    </row>
  </sheetData>
  <mergeCells count="1"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zoomScale="132" zoomScaleNormal="132" workbookViewId="0">
      <pane ySplit="4" topLeftCell="A14" activePane="bottomLeft" state="frozen"/>
      <selection pane="bottomLeft" activeCell="G1" sqref="G1:G1048576"/>
    </sheetView>
  </sheetViews>
  <sheetFormatPr baseColWidth="10" defaultColWidth="8.6640625" defaultRowHeight="15" x14ac:dyDescent="0.2"/>
  <cols>
    <col min="1" max="1" width="6" customWidth="1"/>
    <col min="2" max="2" width="8" customWidth="1"/>
    <col min="3" max="3" width="26" customWidth="1"/>
    <col min="4" max="5" width="50" customWidth="1"/>
    <col min="6" max="6" width="34" customWidth="1"/>
  </cols>
  <sheetData>
    <row r="1" spans="1:6" ht="18" x14ac:dyDescent="0.2">
      <c r="A1" s="1" t="s">
        <v>41</v>
      </c>
      <c r="B1" s="2"/>
      <c r="C1" s="2"/>
      <c r="D1" s="2"/>
      <c r="E1" s="2"/>
      <c r="F1" s="2"/>
    </row>
    <row r="2" spans="1:6" x14ac:dyDescent="0.2">
      <c r="A2" s="3" t="s">
        <v>42</v>
      </c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</row>
    <row r="5" spans="1:6" ht="42" x14ac:dyDescent="0.2">
      <c r="A5" s="6">
        <v>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</row>
    <row r="6" spans="1:6" ht="56" x14ac:dyDescent="0.2">
      <c r="A6" s="6">
        <v>2</v>
      </c>
      <c r="B6" s="6" t="s">
        <v>50</v>
      </c>
      <c r="C6" s="6" t="s">
        <v>55</v>
      </c>
      <c r="D6" s="6" t="s">
        <v>56</v>
      </c>
      <c r="E6" s="6" t="s">
        <v>57</v>
      </c>
      <c r="F6" s="6" t="s">
        <v>58</v>
      </c>
    </row>
    <row r="7" spans="1:6" ht="56" x14ac:dyDescent="0.2">
      <c r="A7" s="6">
        <v>3</v>
      </c>
      <c r="B7" s="6" t="s">
        <v>50</v>
      </c>
      <c r="C7" s="6" t="s">
        <v>59</v>
      </c>
      <c r="D7" s="6" t="s">
        <v>60</v>
      </c>
      <c r="E7" s="6" t="s">
        <v>61</v>
      </c>
      <c r="F7" s="6" t="s">
        <v>62</v>
      </c>
    </row>
    <row r="8" spans="1:6" ht="56" x14ac:dyDescent="0.2">
      <c r="A8" s="6">
        <v>4</v>
      </c>
      <c r="B8" s="6" t="s">
        <v>50</v>
      </c>
      <c r="C8" s="6" t="s">
        <v>63</v>
      </c>
      <c r="D8" s="6" t="s">
        <v>64</v>
      </c>
      <c r="E8" s="6" t="s">
        <v>65</v>
      </c>
      <c r="F8" s="6" t="s">
        <v>66</v>
      </c>
    </row>
    <row r="9" spans="1:6" ht="28" x14ac:dyDescent="0.2">
      <c r="A9" s="6">
        <v>5</v>
      </c>
      <c r="B9" s="6" t="s">
        <v>50</v>
      </c>
      <c r="C9" s="6" t="s">
        <v>67</v>
      </c>
      <c r="D9" s="6" t="s">
        <v>68</v>
      </c>
      <c r="E9" s="6" t="s">
        <v>69</v>
      </c>
      <c r="F9" s="6" t="s">
        <v>70</v>
      </c>
    </row>
    <row r="10" spans="1:6" ht="56" x14ac:dyDescent="0.2">
      <c r="A10" s="6">
        <v>6</v>
      </c>
      <c r="B10" s="6" t="s">
        <v>50</v>
      </c>
      <c r="C10" s="6" t="s">
        <v>71</v>
      </c>
      <c r="D10" s="6" t="s">
        <v>72</v>
      </c>
      <c r="E10" s="6" t="s">
        <v>73</v>
      </c>
      <c r="F10" s="6" t="s">
        <v>74</v>
      </c>
    </row>
    <row r="11" spans="1:6" ht="56" x14ac:dyDescent="0.2">
      <c r="A11" s="6">
        <v>7</v>
      </c>
      <c r="B11" s="6" t="s">
        <v>12</v>
      </c>
      <c r="C11" s="6" t="s">
        <v>75</v>
      </c>
      <c r="D11" s="6" t="s">
        <v>76</v>
      </c>
      <c r="E11" s="6" t="s">
        <v>77</v>
      </c>
      <c r="F11" s="6" t="s">
        <v>78</v>
      </c>
    </row>
    <row r="12" spans="1:6" ht="42" x14ac:dyDescent="0.2">
      <c r="A12" s="6">
        <v>8</v>
      </c>
      <c r="B12" s="6" t="s">
        <v>12</v>
      </c>
      <c r="C12" s="6" t="s">
        <v>79</v>
      </c>
      <c r="D12" s="6" t="s">
        <v>80</v>
      </c>
      <c r="E12" s="6" t="s">
        <v>81</v>
      </c>
      <c r="F12" s="6" t="s">
        <v>82</v>
      </c>
    </row>
    <row r="13" spans="1:6" ht="42" x14ac:dyDescent="0.2">
      <c r="A13" s="6">
        <v>9</v>
      </c>
      <c r="B13" s="6" t="s">
        <v>83</v>
      </c>
      <c r="C13" s="6" t="s">
        <v>84</v>
      </c>
      <c r="D13" s="6" t="s">
        <v>85</v>
      </c>
      <c r="E13" s="6" t="s">
        <v>86</v>
      </c>
      <c r="F13" s="6" t="s">
        <v>87</v>
      </c>
    </row>
    <row r="14" spans="1:6" ht="42" x14ac:dyDescent="0.2">
      <c r="A14" s="6">
        <v>10</v>
      </c>
      <c r="B14" s="6" t="s">
        <v>83</v>
      </c>
      <c r="C14" s="6" t="s">
        <v>18</v>
      </c>
      <c r="D14" s="6" t="s">
        <v>88</v>
      </c>
      <c r="E14" s="6" t="s">
        <v>89</v>
      </c>
      <c r="F14" s="6" t="s">
        <v>90</v>
      </c>
    </row>
    <row r="15" spans="1:6" ht="42" x14ac:dyDescent="0.2">
      <c r="A15" s="6">
        <v>11</v>
      </c>
      <c r="B15" s="6" t="s">
        <v>83</v>
      </c>
      <c r="C15" s="6" t="s">
        <v>91</v>
      </c>
      <c r="D15" s="6" t="s">
        <v>92</v>
      </c>
      <c r="E15" s="6" t="s">
        <v>93</v>
      </c>
      <c r="F15" s="6" t="s">
        <v>94</v>
      </c>
    </row>
    <row r="16" spans="1:6" ht="42" x14ac:dyDescent="0.2">
      <c r="A16" s="6">
        <v>12</v>
      </c>
      <c r="B16" s="6" t="s">
        <v>83</v>
      </c>
      <c r="C16" s="6" t="s">
        <v>95</v>
      </c>
      <c r="D16" s="6" t="s">
        <v>96</v>
      </c>
      <c r="E16" s="6" t="s">
        <v>97</v>
      </c>
      <c r="F16" s="6" t="s">
        <v>98</v>
      </c>
    </row>
    <row r="17" spans="1:6" ht="42" x14ac:dyDescent="0.2">
      <c r="A17" s="6">
        <v>13</v>
      </c>
      <c r="B17" s="6" t="s">
        <v>83</v>
      </c>
      <c r="C17" s="6" t="s">
        <v>99</v>
      </c>
      <c r="D17" s="6" t="s">
        <v>100</v>
      </c>
      <c r="E17" s="6" t="s">
        <v>101</v>
      </c>
      <c r="F17" s="6" t="s">
        <v>102</v>
      </c>
    </row>
    <row r="18" spans="1:6" ht="28" x14ac:dyDescent="0.2">
      <c r="A18" s="6">
        <v>14</v>
      </c>
      <c r="B18" s="6" t="s">
        <v>103</v>
      </c>
      <c r="C18" s="6" t="s">
        <v>104</v>
      </c>
      <c r="D18" s="6" t="s">
        <v>105</v>
      </c>
      <c r="E18" s="6" t="s">
        <v>106</v>
      </c>
      <c r="F18" s="6" t="s">
        <v>107</v>
      </c>
    </row>
    <row r="19" spans="1:6" ht="56" x14ac:dyDescent="0.2">
      <c r="A19" s="6">
        <v>15</v>
      </c>
      <c r="B19" s="6" t="s">
        <v>103</v>
      </c>
      <c r="C19" s="6" t="s">
        <v>108</v>
      </c>
      <c r="D19" s="6" t="s">
        <v>109</v>
      </c>
      <c r="E19" s="6" t="s">
        <v>110</v>
      </c>
      <c r="F19" s="6" t="s">
        <v>111</v>
      </c>
    </row>
    <row r="20" spans="1:6" ht="42" x14ac:dyDescent="0.2">
      <c r="A20" s="6">
        <v>16</v>
      </c>
      <c r="B20" s="6" t="s">
        <v>103</v>
      </c>
      <c r="C20" s="6" t="s">
        <v>112</v>
      </c>
      <c r="D20" s="6" t="s">
        <v>113</v>
      </c>
      <c r="E20" s="6" t="s">
        <v>114</v>
      </c>
      <c r="F20" s="6" t="s">
        <v>115</v>
      </c>
    </row>
    <row r="21" spans="1:6" ht="42" x14ac:dyDescent="0.2">
      <c r="A21" s="6">
        <v>17</v>
      </c>
      <c r="B21" s="6" t="s">
        <v>103</v>
      </c>
      <c r="C21" s="6" t="s">
        <v>116</v>
      </c>
      <c r="D21" s="6" t="s">
        <v>117</v>
      </c>
      <c r="E21" s="6" t="s">
        <v>118</v>
      </c>
      <c r="F21" s="6" t="s">
        <v>119</v>
      </c>
    </row>
    <row r="22" spans="1:6" ht="56" x14ac:dyDescent="0.2">
      <c r="A22" s="6">
        <v>18</v>
      </c>
      <c r="B22" s="6" t="s">
        <v>120</v>
      </c>
      <c r="C22" s="6" t="s">
        <v>121</v>
      </c>
      <c r="D22" s="6" t="s">
        <v>122</v>
      </c>
      <c r="E22" s="6" t="s">
        <v>123</v>
      </c>
      <c r="F22" s="6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showGridLines="0" topLeftCell="A4" zoomScale="140" zoomScaleNormal="140" workbookViewId="0">
      <selection activeCell="D9" sqref="D9"/>
    </sheetView>
  </sheetViews>
  <sheetFormatPr baseColWidth="10" defaultColWidth="8.6640625" defaultRowHeight="15" x14ac:dyDescent="0.2"/>
  <cols>
    <col min="1" max="1" width="52" customWidth="1"/>
    <col min="2" max="3" width="18" customWidth="1"/>
    <col min="4" max="4" width="40" customWidth="1"/>
  </cols>
  <sheetData>
    <row r="1" spans="1:4" ht="18" x14ac:dyDescent="0.2">
      <c r="A1" s="1" t="s">
        <v>125</v>
      </c>
      <c r="B1" s="2"/>
      <c r="C1" s="2"/>
      <c r="D1" s="2"/>
    </row>
    <row r="2" spans="1:4" x14ac:dyDescent="0.2">
      <c r="A2" s="3" t="s">
        <v>126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x14ac:dyDescent="0.2">
      <c r="A4" s="5" t="s">
        <v>127</v>
      </c>
      <c r="B4" s="5" t="s">
        <v>128</v>
      </c>
      <c r="C4" s="5" t="s">
        <v>129</v>
      </c>
      <c r="D4" s="5" t="s">
        <v>543</v>
      </c>
    </row>
    <row r="5" spans="1:4" ht="28" x14ac:dyDescent="0.2">
      <c r="A5" s="6" t="s">
        <v>130</v>
      </c>
      <c r="B5" s="6" t="s">
        <v>131</v>
      </c>
      <c r="C5" s="6" t="s">
        <v>132</v>
      </c>
      <c r="D5" s="6"/>
    </row>
    <row r="6" spans="1:4" x14ac:dyDescent="0.2">
      <c r="A6" s="6" t="s">
        <v>133</v>
      </c>
      <c r="B6" s="7">
        <v>1113513</v>
      </c>
      <c r="C6" s="7">
        <v>368296</v>
      </c>
      <c r="D6" s="21" t="s">
        <v>542</v>
      </c>
    </row>
    <row r="7" spans="1:4" x14ac:dyDescent="0.2">
      <c r="A7" s="6" t="s">
        <v>134</v>
      </c>
      <c r="B7" s="7">
        <v>50538</v>
      </c>
      <c r="C7" s="7">
        <v>50456</v>
      </c>
      <c r="D7" s="21"/>
    </row>
    <row r="8" spans="1:4" ht="28" x14ac:dyDescent="0.2">
      <c r="A8" s="6" t="s">
        <v>135</v>
      </c>
      <c r="B8" s="7">
        <v>31532</v>
      </c>
      <c r="C8" s="7">
        <v>30153</v>
      </c>
      <c r="D8" s="6" t="s">
        <v>136</v>
      </c>
    </row>
    <row r="9" spans="1:4" ht="28" x14ac:dyDescent="0.2">
      <c r="A9" s="6" t="s">
        <v>137</v>
      </c>
      <c r="B9" s="7">
        <v>1229408</v>
      </c>
      <c r="C9" s="7">
        <v>1574790</v>
      </c>
      <c r="D9" s="6" t="s">
        <v>138</v>
      </c>
    </row>
    <row r="10" spans="1:4" ht="56" x14ac:dyDescent="0.2">
      <c r="A10" s="6" t="s">
        <v>139</v>
      </c>
      <c r="B10" s="6" t="s">
        <v>140</v>
      </c>
      <c r="C10" s="6" t="s">
        <v>141</v>
      </c>
      <c r="D10" s="6" t="s">
        <v>142</v>
      </c>
    </row>
    <row r="11" spans="1:4" x14ac:dyDescent="0.2">
      <c r="A11" s="6" t="s">
        <v>143</v>
      </c>
      <c r="B11" s="7">
        <v>524713</v>
      </c>
      <c r="C11" s="7">
        <v>196622</v>
      </c>
      <c r="D11" s="6" t="s">
        <v>144</v>
      </c>
    </row>
    <row r="12" spans="1:4" x14ac:dyDescent="0.2">
      <c r="A12" s="6" t="s">
        <v>145</v>
      </c>
      <c r="B12" s="23" t="s">
        <v>536</v>
      </c>
      <c r="C12" s="21" t="s">
        <v>537</v>
      </c>
      <c r="D12" s="6"/>
    </row>
    <row r="13" spans="1:4" ht="28" x14ac:dyDescent="0.2">
      <c r="A13" s="6" t="s">
        <v>146</v>
      </c>
      <c r="B13" s="7">
        <v>878558</v>
      </c>
      <c r="C13" s="6">
        <v>329855</v>
      </c>
      <c r="D13" s="6" t="s">
        <v>147</v>
      </c>
    </row>
    <row r="14" spans="1:4" x14ac:dyDescent="0.2">
      <c r="A14" s="21" t="s">
        <v>532</v>
      </c>
      <c r="B14" s="7">
        <v>143534</v>
      </c>
      <c r="C14" s="6">
        <v>28966</v>
      </c>
      <c r="D14" s="22" t="s">
        <v>533</v>
      </c>
    </row>
    <row r="15" spans="1:4" x14ac:dyDescent="0.2">
      <c r="A15" s="21" t="s">
        <v>538</v>
      </c>
      <c r="B15" s="7">
        <v>378489</v>
      </c>
      <c r="C15" s="6">
        <v>67407</v>
      </c>
      <c r="D15" s="22" t="s">
        <v>534</v>
      </c>
    </row>
    <row r="16" spans="1:4" x14ac:dyDescent="0.2">
      <c r="A16" s="21" t="s">
        <v>535</v>
      </c>
      <c r="B16" s="7">
        <v>11</v>
      </c>
      <c r="C16" s="7">
        <v>21</v>
      </c>
      <c r="D16" s="6" t="s">
        <v>148</v>
      </c>
    </row>
    <row r="17" spans="1:4" ht="42" x14ac:dyDescent="0.2">
      <c r="A17" s="6" t="s">
        <v>149</v>
      </c>
      <c r="B17" s="7">
        <v>105141</v>
      </c>
      <c r="C17" s="7">
        <v>77052</v>
      </c>
      <c r="D17" s="21" t="s">
        <v>540</v>
      </c>
    </row>
    <row r="18" spans="1:4" ht="28" x14ac:dyDescent="0.2">
      <c r="A18" s="6" t="s">
        <v>150</v>
      </c>
      <c r="B18" s="7">
        <v>1124267</v>
      </c>
      <c r="C18" s="7">
        <v>1497738</v>
      </c>
      <c r="D18" s="6" t="s">
        <v>151</v>
      </c>
    </row>
    <row r="19" spans="1:4" ht="28" x14ac:dyDescent="0.2">
      <c r="A19" s="6" t="s">
        <v>152</v>
      </c>
      <c r="B19" s="6" t="s">
        <v>153</v>
      </c>
      <c r="C19" s="6" t="s">
        <v>154</v>
      </c>
      <c r="D19" s="21" t="s">
        <v>541</v>
      </c>
    </row>
    <row r="20" spans="1:4" ht="28" x14ac:dyDescent="0.2">
      <c r="A20" s="6" t="s">
        <v>155</v>
      </c>
      <c r="B20" s="6" t="s">
        <v>156</v>
      </c>
      <c r="C20" s="6" t="s">
        <v>157</v>
      </c>
      <c r="D20" s="21" t="s">
        <v>539</v>
      </c>
    </row>
    <row r="21" spans="1:4" x14ac:dyDescent="0.2">
      <c r="A21" s="2"/>
      <c r="B21" s="2"/>
      <c r="C21" s="2"/>
      <c r="D21" s="2"/>
    </row>
    <row r="22" spans="1:4" ht="30" customHeight="1" x14ac:dyDescent="0.2">
      <c r="A22" s="24" t="s">
        <v>158</v>
      </c>
      <c r="B22" s="24"/>
      <c r="C22" s="24"/>
      <c r="D22" s="24"/>
    </row>
  </sheetData>
  <mergeCells count="1"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2"/>
  <sheetViews>
    <sheetView showGridLines="0" zoomScale="120" zoomScaleNormal="120" workbookViewId="0">
      <selection activeCell="D4" sqref="D4:D14"/>
    </sheetView>
  </sheetViews>
  <sheetFormatPr baseColWidth="10" defaultColWidth="8.6640625" defaultRowHeight="15" x14ac:dyDescent="0.2"/>
  <cols>
    <col min="1" max="1" width="54" customWidth="1"/>
    <col min="2" max="3" width="20" customWidth="1"/>
    <col min="4" max="4" width="44" customWidth="1"/>
    <col min="5" max="7" width="14" customWidth="1"/>
  </cols>
  <sheetData>
    <row r="1" spans="1:7" ht="18" x14ac:dyDescent="0.2">
      <c r="A1" s="1" t="s">
        <v>159</v>
      </c>
      <c r="B1" s="2"/>
      <c r="C1" s="2"/>
      <c r="D1" s="2"/>
      <c r="E1" s="2"/>
      <c r="F1" s="2"/>
      <c r="G1" s="2"/>
    </row>
    <row r="2" spans="1:7" x14ac:dyDescent="0.2">
      <c r="A2" s="3" t="s">
        <v>160</v>
      </c>
      <c r="B2" s="2"/>
      <c r="C2" s="2"/>
      <c r="D2" s="2"/>
      <c r="E2" s="2"/>
      <c r="F2" s="2"/>
      <c r="G2" s="2"/>
    </row>
    <row r="3" spans="1:7" x14ac:dyDescent="0.2">
      <c r="A3" s="2"/>
      <c r="B3" s="2"/>
      <c r="C3" s="2"/>
      <c r="D3" s="2"/>
      <c r="E3" s="2"/>
      <c r="F3" s="2"/>
      <c r="G3" s="2"/>
    </row>
    <row r="4" spans="1:7" x14ac:dyDescent="0.2">
      <c r="A4" s="5" t="s">
        <v>161</v>
      </c>
      <c r="B4" s="5" t="s">
        <v>162</v>
      </c>
      <c r="C4" s="5"/>
      <c r="D4" s="2"/>
      <c r="E4" s="2"/>
      <c r="F4" s="2"/>
    </row>
    <row r="5" spans="1:7" ht="28" x14ac:dyDescent="0.2">
      <c r="A5" s="6" t="s">
        <v>163</v>
      </c>
      <c r="B5" s="6" t="s">
        <v>164</v>
      </c>
      <c r="C5" s="6"/>
      <c r="D5" s="2"/>
      <c r="E5" s="2"/>
      <c r="F5" s="2"/>
    </row>
    <row r="6" spans="1:7" ht="28" x14ac:dyDescent="0.2">
      <c r="A6" s="6" t="s">
        <v>165</v>
      </c>
      <c r="B6" s="6" t="s">
        <v>166</v>
      </c>
      <c r="C6" s="6"/>
      <c r="D6" s="2"/>
      <c r="E6" s="2"/>
      <c r="F6" s="2"/>
    </row>
    <row r="7" spans="1:7" ht="42" x14ac:dyDescent="0.2">
      <c r="A7" s="6" t="s">
        <v>167</v>
      </c>
      <c r="B7" s="6" t="s">
        <v>168</v>
      </c>
      <c r="C7" s="6"/>
      <c r="D7" s="2"/>
      <c r="E7" s="2"/>
      <c r="F7" s="2"/>
    </row>
    <row r="8" spans="1:7" x14ac:dyDescent="0.2">
      <c r="A8" s="2"/>
      <c r="B8" s="2"/>
      <c r="C8" s="2"/>
      <c r="D8" s="2"/>
      <c r="E8" s="2"/>
      <c r="F8" s="2"/>
    </row>
    <row r="9" spans="1:7" x14ac:dyDescent="0.2">
      <c r="A9" s="4" t="s">
        <v>169</v>
      </c>
      <c r="B9" s="2"/>
      <c r="C9" s="2"/>
      <c r="D9" s="2"/>
      <c r="E9" s="2"/>
      <c r="F9" s="2"/>
    </row>
    <row r="10" spans="1:7" x14ac:dyDescent="0.2">
      <c r="A10" s="5" t="s">
        <v>170</v>
      </c>
      <c r="B10" s="5" t="s">
        <v>128</v>
      </c>
      <c r="C10" s="5" t="s">
        <v>129</v>
      </c>
      <c r="D10" s="2"/>
      <c r="E10" s="2"/>
      <c r="F10" s="2"/>
    </row>
    <row r="11" spans="1:7" x14ac:dyDescent="0.2">
      <c r="A11" s="6" t="s">
        <v>171</v>
      </c>
      <c r="B11" s="7">
        <v>1229408</v>
      </c>
      <c r="C11" s="7">
        <v>1574790</v>
      </c>
      <c r="D11" s="2"/>
      <c r="E11" s="2"/>
      <c r="F11" s="2"/>
    </row>
    <row r="12" spans="1:7" x14ac:dyDescent="0.2">
      <c r="A12" s="6" t="s">
        <v>172</v>
      </c>
      <c r="B12" s="7">
        <v>524713</v>
      </c>
      <c r="C12" s="7">
        <v>196622</v>
      </c>
      <c r="D12" s="2"/>
      <c r="E12" s="2"/>
      <c r="F12" s="2"/>
    </row>
    <row r="13" spans="1:7" x14ac:dyDescent="0.2">
      <c r="A13" s="6" t="s">
        <v>173</v>
      </c>
      <c r="B13" s="7">
        <v>0</v>
      </c>
      <c r="C13" s="7">
        <v>0</v>
      </c>
      <c r="D13" s="2"/>
      <c r="E13" s="2"/>
      <c r="F13" s="2"/>
    </row>
    <row r="14" spans="1:7" x14ac:dyDescent="0.2">
      <c r="A14" s="6" t="s">
        <v>174</v>
      </c>
      <c r="B14" s="7">
        <v>14</v>
      </c>
      <c r="C14" s="7">
        <v>13</v>
      </c>
      <c r="D14" s="2"/>
      <c r="E14" s="2"/>
      <c r="F14" s="2"/>
    </row>
    <row r="15" spans="1:7" x14ac:dyDescent="0.2">
      <c r="A15" s="2"/>
      <c r="B15" s="2"/>
      <c r="C15" s="2"/>
      <c r="D15" s="2"/>
      <c r="E15" s="2"/>
      <c r="F15" s="2"/>
      <c r="G15" s="2"/>
    </row>
    <row r="16" spans="1:7" x14ac:dyDescent="0.2">
      <c r="A16" s="4" t="s">
        <v>175</v>
      </c>
      <c r="B16" s="2"/>
      <c r="C16" s="2"/>
      <c r="D16" s="2"/>
      <c r="E16" s="2"/>
      <c r="F16" s="2"/>
      <c r="G16" s="2"/>
    </row>
    <row r="17" spans="1:7" ht="28" x14ac:dyDescent="0.2">
      <c r="A17" s="5" t="s">
        <v>176</v>
      </c>
      <c r="B17" s="5" t="s">
        <v>177</v>
      </c>
      <c r="C17" s="5" t="s">
        <v>178</v>
      </c>
      <c r="D17" s="5" t="s">
        <v>179</v>
      </c>
      <c r="E17" s="5" t="s">
        <v>180</v>
      </c>
      <c r="F17" s="5" t="s">
        <v>181</v>
      </c>
      <c r="G17" s="2"/>
    </row>
    <row r="18" spans="1:7" x14ac:dyDescent="0.2">
      <c r="A18" s="6" t="s">
        <v>182</v>
      </c>
      <c r="B18" s="7">
        <v>165586</v>
      </c>
      <c r="C18" s="8">
        <f>B18/524713</f>
        <v>0.31557441877750314</v>
      </c>
      <c r="D18" s="7">
        <v>105141</v>
      </c>
      <c r="E18" s="8">
        <f>D18/1229408</f>
        <v>8.5521649444285378E-2</v>
      </c>
      <c r="F18" s="9">
        <f>C18/E18</f>
        <v>3.6899945315377694</v>
      </c>
      <c r="G18" s="2"/>
    </row>
    <row r="19" spans="1:7" x14ac:dyDescent="0.2">
      <c r="A19" s="6" t="s">
        <v>183</v>
      </c>
      <c r="B19" s="7">
        <v>176116</v>
      </c>
      <c r="C19" s="8">
        <f>B19/524713</f>
        <v>0.33564253220331874</v>
      </c>
      <c r="D19" s="7">
        <v>174257</v>
      </c>
      <c r="E19" s="8">
        <f>D19/1229408</f>
        <v>0.14174057757880215</v>
      </c>
      <c r="F19" s="9">
        <f>C19/E19</f>
        <v>2.3680059580448285</v>
      </c>
      <c r="G19" s="2"/>
    </row>
    <row r="20" spans="1:7" x14ac:dyDescent="0.2">
      <c r="A20" s="6" t="s">
        <v>184</v>
      </c>
      <c r="B20" s="7">
        <v>136748</v>
      </c>
      <c r="C20" s="8">
        <f>B20/524713</f>
        <v>0.26061485040393512</v>
      </c>
      <c r="D20" s="7">
        <v>55068</v>
      </c>
      <c r="E20" s="8">
        <f>D20/1229408</f>
        <v>4.4792290273041983E-2</v>
      </c>
      <c r="F20" s="9">
        <f>C20/E20</f>
        <v>5.8182970510169438</v>
      </c>
      <c r="G20" s="2"/>
    </row>
    <row r="21" spans="1:7" x14ac:dyDescent="0.2">
      <c r="A21" s="6" t="s">
        <v>185</v>
      </c>
      <c r="B21" s="7">
        <v>153113</v>
      </c>
      <c r="C21" s="8">
        <f>B21/524713</f>
        <v>0.29180332867681952</v>
      </c>
      <c r="D21" s="7">
        <v>125132</v>
      </c>
      <c r="E21" s="8">
        <f>D21/1229408</f>
        <v>0.10178232124729951</v>
      </c>
      <c r="F21" s="9">
        <f>C21/E21</f>
        <v>2.8669352899491045</v>
      </c>
      <c r="G21" s="2"/>
    </row>
    <row r="22" spans="1:7" x14ac:dyDescent="0.2">
      <c r="A22" s="2"/>
      <c r="B22" s="2"/>
      <c r="C22" s="2"/>
      <c r="D22" s="2"/>
      <c r="E22" s="2"/>
      <c r="F22" s="2"/>
      <c r="G22" s="2"/>
    </row>
    <row r="23" spans="1:7" ht="105" customHeight="1" x14ac:dyDescent="0.2">
      <c r="A23" s="24" t="s">
        <v>186</v>
      </c>
      <c r="B23" s="24"/>
      <c r="C23" s="24"/>
      <c r="D23" s="24"/>
      <c r="E23" s="24"/>
      <c r="F23" s="24"/>
      <c r="G23" s="2"/>
    </row>
    <row r="24" spans="1:7" x14ac:dyDescent="0.2">
      <c r="A24" s="2"/>
      <c r="B24" s="2"/>
      <c r="C24" s="2"/>
      <c r="D24" s="2"/>
      <c r="E24" s="2"/>
      <c r="F24" s="2"/>
      <c r="G24" s="2"/>
    </row>
    <row r="25" spans="1:7" x14ac:dyDescent="0.2">
      <c r="A25" s="4" t="s">
        <v>187</v>
      </c>
      <c r="B25" s="2"/>
      <c r="C25" s="2"/>
      <c r="D25" s="2"/>
      <c r="E25" s="2"/>
      <c r="F25" s="2"/>
      <c r="G25" s="2"/>
    </row>
    <row r="26" spans="1:7" x14ac:dyDescent="0.2">
      <c r="A26" s="5" t="s">
        <v>188</v>
      </c>
      <c r="B26" s="5" t="s">
        <v>162</v>
      </c>
      <c r="C26" s="2"/>
      <c r="D26" s="2"/>
      <c r="E26" s="2"/>
    </row>
    <row r="27" spans="1:7" x14ac:dyDescent="0.2">
      <c r="A27" s="6" t="s">
        <v>189</v>
      </c>
      <c r="B27" s="6" t="s">
        <v>190</v>
      </c>
      <c r="C27" s="2"/>
      <c r="D27" s="2"/>
      <c r="E27" s="2"/>
    </row>
    <row r="28" spans="1:7" x14ac:dyDescent="0.2">
      <c r="A28" s="6" t="s">
        <v>191</v>
      </c>
      <c r="B28" s="6" t="s">
        <v>192</v>
      </c>
      <c r="C28" s="2"/>
      <c r="D28" s="2"/>
      <c r="E28" s="2"/>
    </row>
    <row r="29" spans="1:7" x14ac:dyDescent="0.2">
      <c r="A29" s="6" t="s">
        <v>193</v>
      </c>
      <c r="B29" s="6" t="s">
        <v>194</v>
      </c>
      <c r="C29" s="2"/>
      <c r="D29" s="2"/>
      <c r="E29" s="2"/>
    </row>
    <row r="30" spans="1:7" x14ac:dyDescent="0.2">
      <c r="A30" s="6" t="s">
        <v>195</v>
      </c>
      <c r="B30" s="6" t="s">
        <v>196</v>
      </c>
      <c r="C30" s="2"/>
      <c r="D30" s="2"/>
      <c r="E30" s="2"/>
    </row>
    <row r="31" spans="1:7" x14ac:dyDescent="0.2">
      <c r="A31" s="6" t="s">
        <v>197</v>
      </c>
      <c r="B31" s="6" t="s">
        <v>198</v>
      </c>
      <c r="C31" s="2"/>
      <c r="D31" s="2"/>
      <c r="E31" s="2"/>
    </row>
    <row r="32" spans="1:7" x14ac:dyDescent="0.2">
      <c r="A32" s="6" t="s">
        <v>199</v>
      </c>
      <c r="B32" s="6" t="s">
        <v>200</v>
      </c>
      <c r="C32" s="2"/>
      <c r="D32" s="2"/>
      <c r="E32" s="2"/>
    </row>
    <row r="33" spans="1:7" x14ac:dyDescent="0.2">
      <c r="A33" s="2"/>
      <c r="B33" s="2"/>
      <c r="C33" s="2"/>
      <c r="D33" s="2"/>
      <c r="E33" s="2"/>
      <c r="F33" s="2"/>
      <c r="G33" s="2"/>
    </row>
    <row r="34" spans="1:7" x14ac:dyDescent="0.2">
      <c r="A34" s="4" t="s">
        <v>201</v>
      </c>
      <c r="B34" s="2"/>
      <c r="C34" s="2"/>
      <c r="D34" s="2"/>
      <c r="E34" s="2"/>
      <c r="F34" s="2"/>
      <c r="G34" s="2"/>
    </row>
    <row r="35" spans="1:7" x14ac:dyDescent="0.2">
      <c r="A35" s="5" t="s">
        <v>170</v>
      </c>
      <c r="B35" s="5" t="s">
        <v>127</v>
      </c>
      <c r="C35" s="5" t="s">
        <v>202</v>
      </c>
      <c r="D35" s="5" t="s">
        <v>203</v>
      </c>
      <c r="E35" s="5" t="s">
        <v>204</v>
      </c>
      <c r="F35" s="5" t="s">
        <v>205</v>
      </c>
      <c r="G35" s="5" t="s">
        <v>206</v>
      </c>
    </row>
    <row r="36" spans="1:7" x14ac:dyDescent="0.2">
      <c r="A36" s="6" t="s">
        <v>207</v>
      </c>
      <c r="B36" s="6" t="s">
        <v>208</v>
      </c>
      <c r="C36" s="7">
        <v>524713</v>
      </c>
      <c r="D36" s="10">
        <v>0.91949798022919205</v>
      </c>
      <c r="E36" s="10">
        <v>0.87690000000000001</v>
      </c>
      <c r="F36" s="10">
        <v>0.92349999999999999</v>
      </c>
      <c r="G36" s="10">
        <v>0.95040000000000002</v>
      </c>
    </row>
    <row r="37" spans="1:7" x14ac:dyDescent="0.2">
      <c r="A37" s="6" t="s">
        <v>207</v>
      </c>
      <c r="B37" s="6" t="s">
        <v>209</v>
      </c>
      <c r="C37" s="7">
        <v>524713</v>
      </c>
      <c r="D37" s="10">
        <v>0.91029533478301505</v>
      </c>
      <c r="E37" s="10">
        <v>0.86470000000000002</v>
      </c>
      <c r="F37" s="10">
        <v>0.91500000000000004</v>
      </c>
      <c r="G37" s="10">
        <v>0.94169999999999998</v>
      </c>
    </row>
    <row r="38" spans="1:7" x14ac:dyDescent="0.2">
      <c r="A38" s="6" t="s">
        <v>207</v>
      </c>
      <c r="B38" s="6" t="s">
        <v>210</v>
      </c>
      <c r="C38" s="7">
        <v>524713</v>
      </c>
      <c r="D38" s="10">
        <v>0.90427250554112404</v>
      </c>
      <c r="E38" s="10">
        <v>0.85660000000000003</v>
      </c>
      <c r="F38" s="10">
        <v>0.90939999999999999</v>
      </c>
      <c r="G38" s="10">
        <v>0.93620000000000003</v>
      </c>
    </row>
    <row r="39" spans="1:7" x14ac:dyDescent="0.2">
      <c r="A39" s="6" t="s">
        <v>207</v>
      </c>
      <c r="B39" s="6" t="s">
        <v>211</v>
      </c>
      <c r="C39" s="7">
        <v>524713</v>
      </c>
      <c r="D39" s="10">
        <v>9.2026454461772399E-3</v>
      </c>
      <c r="E39" s="10">
        <v>5.0000000000005596E-4</v>
      </c>
      <c r="F39" s="10">
        <v>6.4999999999999503E-3</v>
      </c>
      <c r="G39" s="10">
        <v>2.6800000000000102E-2</v>
      </c>
    </row>
    <row r="40" spans="1:7" x14ac:dyDescent="0.2">
      <c r="A40" s="6" t="s">
        <v>207</v>
      </c>
      <c r="B40" s="6" t="s">
        <v>212</v>
      </c>
      <c r="C40" s="7">
        <v>524713</v>
      </c>
      <c r="D40" s="10">
        <v>1.52254746880676E-2</v>
      </c>
      <c r="E40" s="10">
        <v>2.70000000000004E-3</v>
      </c>
      <c r="F40" s="10">
        <v>1.2500000000000001E-2</v>
      </c>
      <c r="G40" s="10">
        <v>3.6700000000000101E-2</v>
      </c>
    </row>
    <row r="41" spans="1:7" x14ac:dyDescent="0.2">
      <c r="A41" s="6" t="s">
        <v>213</v>
      </c>
      <c r="B41" s="6" t="s">
        <v>208</v>
      </c>
      <c r="C41" s="7">
        <v>524713</v>
      </c>
      <c r="D41" s="10">
        <v>0.91484146666844501</v>
      </c>
      <c r="E41" s="10">
        <v>0.86899999999999999</v>
      </c>
      <c r="F41" s="10">
        <v>0.91920000000000002</v>
      </c>
      <c r="G41" s="10">
        <v>0.94720000000000004</v>
      </c>
    </row>
    <row r="42" spans="1:7" x14ac:dyDescent="0.2">
      <c r="A42" s="6" t="s">
        <v>213</v>
      </c>
      <c r="B42" s="6" t="s">
        <v>209</v>
      </c>
      <c r="C42" s="7">
        <v>524713</v>
      </c>
      <c r="D42" s="10">
        <v>0.90474252743881001</v>
      </c>
      <c r="E42" s="10">
        <v>0.85560000000000003</v>
      </c>
      <c r="F42" s="10">
        <v>0.90990000000000004</v>
      </c>
      <c r="G42" s="10">
        <v>0.93759999999999999</v>
      </c>
    </row>
    <row r="43" spans="1:7" x14ac:dyDescent="0.2">
      <c r="A43" s="6" t="s">
        <v>213</v>
      </c>
      <c r="B43" s="6" t="s">
        <v>210</v>
      </c>
      <c r="C43" s="7">
        <v>524713</v>
      </c>
      <c r="D43" s="10">
        <v>0.898675057031177</v>
      </c>
      <c r="E43" s="10">
        <v>0.84750000000000003</v>
      </c>
      <c r="F43" s="10">
        <v>0.9042</v>
      </c>
      <c r="G43" s="10">
        <v>0.93220000000000003</v>
      </c>
    </row>
    <row r="44" spans="1:7" x14ac:dyDescent="0.2">
      <c r="A44" s="6" t="s">
        <v>213</v>
      </c>
      <c r="B44" s="6" t="s">
        <v>211</v>
      </c>
      <c r="C44" s="7">
        <v>524713</v>
      </c>
      <c r="D44" s="10">
        <v>1.0098939229636001E-2</v>
      </c>
      <c r="E44" s="10">
        <v>5.0000000000005596E-4</v>
      </c>
      <c r="F44" s="10">
        <v>6.9000000000000198E-3</v>
      </c>
      <c r="G44" s="10">
        <v>3.0300000000000001E-2</v>
      </c>
    </row>
    <row r="45" spans="1:7" x14ac:dyDescent="0.2">
      <c r="A45" s="6" t="s">
        <v>213</v>
      </c>
      <c r="B45" s="6" t="s">
        <v>212</v>
      </c>
      <c r="C45" s="7">
        <v>524713</v>
      </c>
      <c r="D45" s="10">
        <v>1.6166409637268401E-2</v>
      </c>
      <c r="E45" s="10">
        <v>2.8000000000000299E-3</v>
      </c>
      <c r="F45" s="10">
        <v>1.2999999999999999E-2</v>
      </c>
      <c r="G45" s="10">
        <v>0.04</v>
      </c>
    </row>
    <row r="46" spans="1:7" x14ac:dyDescent="0.2">
      <c r="A46" s="6" t="s">
        <v>214</v>
      </c>
      <c r="B46" s="6" t="s">
        <v>208</v>
      </c>
      <c r="C46" s="7">
        <v>196622</v>
      </c>
      <c r="D46" s="10">
        <v>0.91281061834382704</v>
      </c>
      <c r="E46" s="10">
        <v>0.86680000000000001</v>
      </c>
      <c r="F46" s="10">
        <v>0.9173</v>
      </c>
      <c r="G46" s="10">
        <v>0.9456</v>
      </c>
    </row>
    <row r="47" spans="1:7" x14ac:dyDescent="0.2">
      <c r="A47" s="6" t="s">
        <v>214</v>
      </c>
      <c r="B47" s="6" t="s">
        <v>209</v>
      </c>
      <c r="C47" s="7">
        <v>196622</v>
      </c>
      <c r="D47" s="10">
        <v>0.90349319404746198</v>
      </c>
      <c r="E47" s="10">
        <v>0.8548</v>
      </c>
      <c r="F47" s="10">
        <v>0.90859999999999996</v>
      </c>
      <c r="G47" s="10">
        <v>0.93669999999999998</v>
      </c>
    </row>
    <row r="48" spans="1:7" x14ac:dyDescent="0.2">
      <c r="A48" s="6" t="s">
        <v>214</v>
      </c>
      <c r="B48" s="6" t="s">
        <v>210</v>
      </c>
      <c r="C48" s="7">
        <v>196622</v>
      </c>
      <c r="D48" s="10">
        <v>0.89772595284352696</v>
      </c>
      <c r="E48" s="10">
        <v>0.84730000000000005</v>
      </c>
      <c r="F48" s="10">
        <v>0.9032</v>
      </c>
      <c r="G48" s="10">
        <v>0.93149999999999999</v>
      </c>
    </row>
    <row r="49" spans="1:7" x14ac:dyDescent="0.2">
      <c r="A49" s="6" t="s">
        <v>214</v>
      </c>
      <c r="B49" s="6" t="s">
        <v>211</v>
      </c>
      <c r="C49" s="7">
        <v>196622</v>
      </c>
      <c r="D49" s="10">
        <v>9.3174242963656208E-3</v>
      </c>
      <c r="E49" s="10">
        <v>4.9999999999994504E-4</v>
      </c>
      <c r="F49" s="10">
        <v>6.4999999999999503E-3</v>
      </c>
      <c r="G49" s="10">
        <v>2.76E-2</v>
      </c>
    </row>
    <row r="50" spans="1:7" x14ac:dyDescent="0.2">
      <c r="A50" s="6" t="s">
        <v>214</v>
      </c>
      <c r="B50" s="6" t="s">
        <v>212</v>
      </c>
      <c r="C50" s="7">
        <v>196622</v>
      </c>
      <c r="D50" s="10">
        <v>1.5084665500300101E-2</v>
      </c>
      <c r="E50" s="10">
        <v>2.6000000000000502E-3</v>
      </c>
      <c r="F50" s="10">
        <v>1.23E-2</v>
      </c>
      <c r="G50" s="10">
        <v>3.6899999999999898E-2</v>
      </c>
    </row>
    <row r="51" spans="1:7" x14ac:dyDescent="0.2">
      <c r="A51" s="2"/>
      <c r="B51" s="2"/>
      <c r="C51" s="2"/>
      <c r="D51" s="2"/>
      <c r="E51" s="2"/>
      <c r="F51" s="2"/>
      <c r="G51" s="2"/>
    </row>
    <row r="52" spans="1:7" ht="60" customHeight="1" x14ac:dyDescent="0.2">
      <c r="A52" s="24" t="s">
        <v>215</v>
      </c>
      <c r="B52" s="24"/>
      <c r="C52" s="24"/>
      <c r="D52" s="24"/>
      <c r="E52" s="24"/>
      <c r="F52" s="24"/>
      <c r="G52" s="24"/>
    </row>
    <row r="53" spans="1:7" x14ac:dyDescent="0.2">
      <c r="A53" s="2"/>
      <c r="B53" s="2"/>
      <c r="C53" s="2"/>
      <c r="D53" s="2"/>
      <c r="E53" s="2"/>
      <c r="F53" s="2"/>
      <c r="G53" s="2"/>
    </row>
    <row r="54" spans="1:7" x14ac:dyDescent="0.2">
      <c r="A54" s="4" t="s">
        <v>216</v>
      </c>
      <c r="B54" s="2"/>
      <c r="C54" s="2"/>
      <c r="D54" s="2"/>
      <c r="E54" s="2"/>
      <c r="F54" s="2"/>
      <c r="G54" s="2"/>
    </row>
    <row r="55" spans="1:7" x14ac:dyDescent="0.2">
      <c r="A55" s="5" t="s">
        <v>217</v>
      </c>
      <c r="B55" s="5" t="s">
        <v>218</v>
      </c>
      <c r="C55" s="5" t="s">
        <v>219</v>
      </c>
      <c r="D55" s="5" t="s">
        <v>220</v>
      </c>
      <c r="E55" s="5"/>
      <c r="F55" s="5"/>
      <c r="G55" s="5" t="s">
        <v>49</v>
      </c>
    </row>
    <row r="56" spans="1:7" ht="28" x14ac:dyDescent="0.2">
      <c r="A56" s="6" t="s">
        <v>221</v>
      </c>
      <c r="B56" s="8">
        <v>0.28999999999999998</v>
      </c>
      <c r="C56" s="8">
        <v>0.46800000000000003</v>
      </c>
      <c r="D56" s="8">
        <v>0.40200000000000002</v>
      </c>
      <c r="E56" s="6"/>
      <c r="F56" s="6"/>
      <c r="G56" s="6" t="s">
        <v>222</v>
      </c>
    </row>
    <row r="57" spans="1:7" ht="28" x14ac:dyDescent="0.2">
      <c r="A57" s="6" t="s">
        <v>223</v>
      </c>
      <c r="B57" s="8">
        <v>0.246</v>
      </c>
      <c r="C57" s="6"/>
      <c r="D57" s="6"/>
      <c r="E57" s="6"/>
      <c r="F57" s="6"/>
      <c r="G57" s="6" t="s">
        <v>222</v>
      </c>
    </row>
    <row r="58" spans="1:7" ht="28" x14ac:dyDescent="0.2">
      <c r="A58" s="6" t="s">
        <v>224</v>
      </c>
      <c r="B58" s="8">
        <v>2.1000000000000001E-2</v>
      </c>
      <c r="C58" s="8">
        <v>3.9E-2</v>
      </c>
      <c r="D58" s="8">
        <v>4.1000000000000002E-2</v>
      </c>
      <c r="E58" s="6"/>
      <c r="F58" s="6"/>
      <c r="G58" s="6" t="s">
        <v>222</v>
      </c>
    </row>
    <row r="59" spans="1:7" ht="28" x14ac:dyDescent="0.2">
      <c r="A59" s="6" t="s">
        <v>225</v>
      </c>
      <c r="B59" s="8">
        <v>1.6E-2</v>
      </c>
      <c r="C59" s="8">
        <v>0.02</v>
      </c>
      <c r="D59" s="8">
        <v>2.5999999999999999E-2</v>
      </c>
      <c r="E59" s="6"/>
      <c r="F59" s="6"/>
      <c r="G59" s="6" t="s">
        <v>222</v>
      </c>
    </row>
    <row r="60" spans="1:7" x14ac:dyDescent="0.2">
      <c r="A60" s="2"/>
      <c r="B60" s="2"/>
      <c r="C60" s="2"/>
      <c r="D60" s="2"/>
      <c r="E60" s="2"/>
      <c r="F60" s="2"/>
      <c r="G60" s="2"/>
    </row>
    <row r="61" spans="1:7" ht="90" customHeight="1" x14ac:dyDescent="0.2">
      <c r="A61" s="24" t="s">
        <v>226</v>
      </c>
      <c r="B61" s="24"/>
      <c r="C61" s="24"/>
      <c r="D61" s="24"/>
      <c r="E61" s="24"/>
      <c r="F61" s="24"/>
      <c r="G61" s="24"/>
    </row>
    <row r="62" spans="1:7" x14ac:dyDescent="0.2">
      <c r="A62" s="2"/>
      <c r="B62" s="2"/>
      <c r="C62" s="2"/>
      <c r="D62" s="2"/>
      <c r="E62" s="2"/>
      <c r="F62" s="2"/>
      <c r="G62" s="2"/>
    </row>
  </sheetData>
  <mergeCells count="3">
    <mergeCell ref="A23:F23"/>
    <mergeCell ref="A52:G52"/>
    <mergeCell ref="A61:G6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showGridLines="0" zoomScaleNormal="100" workbookViewId="0"/>
  </sheetViews>
  <sheetFormatPr baseColWidth="10" defaultColWidth="8.6640625" defaultRowHeight="15" x14ac:dyDescent="0.2"/>
  <cols>
    <col min="1" max="1" width="16" customWidth="1"/>
    <col min="2" max="4" width="18" customWidth="1"/>
  </cols>
  <sheetData>
    <row r="1" spans="1:4" ht="18" x14ac:dyDescent="0.2">
      <c r="A1" s="1" t="s">
        <v>228</v>
      </c>
      <c r="B1" s="2"/>
      <c r="C1" s="2"/>
      <c r="D1" s="2"/>
    </row>
    <row r="2" spans="1:4" x14ac:dyDescent="0.2">
      <c r="A2" s="3" t="s">
        <v>229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ht="28" x14ac:dyDescent="0.2">
      <c r="A4" s="5" t="s">
        <v>230</v>
      </c>
      <c r="B4" s="5" t="s">
        <v>207</v>
      </c>
      <c r="C4" s="5" t="s">
        <v>213</v>
      </c>
      <c r="D4" s="5" t="s">
        <v>214</v>
      </c>
    </row>
    <row r="5" spans="1:4" x14ac:dyDescent="0.2">
      <c r="A5" s="6" t="s">
        <v>231</v>
      </c>
      <c r="B5" s="8">
        <v>4.4328995088743798E-3</v>
      </c>
      <c r="C5" s="8">
        <v>6.1557460935787803E-3</v>
      </c>
      <c r="D5" s="8">
        <v>6.9422546815717497E-3</v>
      </c>
    </row>
    <row r="6" spans="1:4" x14ac:dyDescent="0.2">
      <c r="A6" s="6" t="s">
        <v>232</v>
      </c>
      <c r="B6" s="8">
        <v>1.33596842464357E-3</v>
      </c>
      <c r="C6" s="8">
        <v>1.8371948093529201E-3</v>
      </c>
      <c r="D6" s="8">
        <v>2.0750475531730898E-3</v>
      </c>
    </row>
    <row r="7" spans="1:4" x14ac:dyDescent="0.2">
      <c r="A7" s="6" t="s">
        <v>233</v>
      </c>
      <c r="B7" s="8">
        <v>1.86387606177091E-3</v>
      </c>
      <c r="C7" s="8">
        <v>2.4756390636405E-3</v>
      </c>
      <c r="D7" s="8">
        <v>2.8125031786880401E-3</v>
      </c>
    </row>
    <row r="8" spans="1:4" x14ac:dyDescent="0.2">
      <c r="A8" s="6" t="s">
        <v>234</v>
      </c>
      <c r="B8" s="8">
        <v>2.6204801481952999E-3</v>
      </c>
      <c r="C8" s="8">
        <v>3.39423646831697E-3</v>
      </c>
      <c r="D8" s="8">
        <v>3.7279653344996998E-3</v>
      </c>
    </row>
    <row r="9" spans="1:4" x14ac:dyDescent="0.2">
      <c r="A9" s="6" t="s">
        <v>235</v>
      </c>
      <c r="B9" s="8">
        <v>3.6210271138698699E-3</v>
      </c>
      <c r="C9" s="8">
        <v>4.8083428464703601E-3</v>
      </c>
      <c r="D9" s="8">
        <v>4.9333238396517204E-3</v>
      </c>
    </row>
    <row r="10" spans="1:4" x14ac:dyDescent="0.2">
      <c r="A10" s="6" t="s">
        <v>236</v>
      </c>
      <c r="B10" s="8">
        <v>5.1971268102753302E-3</v>
      </c>
      <c r="C10" s="8">
        <v>6.9923939372571299E-3</v>
      </c>
      <c r="D10" s="8">
        <v>6.9778559876310896E-3</v>
      </c>
    </row>
    <row r="11" spans="1:4" x14ac:dyDescent="0.2">
      <c r="A11" s="6" t="s">
        <v>237</v>
      </c>
      <c r="B11" s="8">
        <v>7.3754604898296798E-3</v>
      </c>
      <c r="C11" s="8">
        <v>1.01160062739059E-2</v>
      </c>
      <c r="D11" s="8">
        <v>1.1153380598305399E-2</v>
      </c>
    </row>
    <row r="12" spans="1:4" x14ac:dyDescent="0.2">
      <c r="A12" s="6" t="s">
        <v>238</v>
      </c>
      <c r="B12" s="8">
        <v>1.14386340723405E-2</v>
      </c>
      <c r="C12" s="8">
        <v>1.60525849369084E-2</v>
      </c>
      <c r="D12" s="8">
        <v>1.7632818301105701E-2</v>
      </c>
    </row>
    <row r="13" spans="1:4" x14ac:dyDescent="0.2">
      <c r="A13" s="6" t="s">
        <v>239</v>
      </c>
      <c r="B13" s="8">
        <v>1.9443009797737099E-2</v>
      </c>
      <c r="C13" s="8">
        <v>2.6412534090064499E-2</v>
      </c>
      <c r="D13" s="8">
        <v>3.02967114565003E-2</v>
      </c>
    </row>
    <row r="14" spans="1:4" x14ac:dyDescent="0.2">
      <c r="A14" s="6" t="s">
        <v>240</v>
      </c>
      <c r="B14" s="8">
        <v>3.5308825967719497E-2</v>
      </c>
      <c r="C14" s="8">
        <v>4.67055323576889E-2</v>
      </c>
      <c r="D14" s="8">
        <v>5.34019590890134E-2</v>
      </c>
    </row>
    <row r="15" spans="1:4" x14ac:dyDescent="0.2">
      <c r="A15" s="6" t="s">
        <v>241</v>
      </c>
      <c r="B15" s="8">
        <v>6.4172223672750606E-2</v>
      </c>
      <c r="C15" s="8">
        <v>8.09871301073158E-2</v>
      </c>
      <c r="D15" s="8">
        <v>8.8698111096418494E-2</v>
      </c>
    </row>
    <row r="16" spans="1:4" x14ac:dyDescent="0.2">
      <c r="A16" s="6" t="s">
        <v>242</v>
      </c>
      <c r="B16" s="8">
        <v>0.109692346101583</v>
      </c>
      <c r="C16" s="8">
        <v>0.12939263940477899</v>
      </c>
      <c r="D16" s="8">
        <v>0.13828055863535099</v>
      </c>
    </row>
    <row r="17" spans="1:4" x14ac:dyDescent="0.2">
      <c r="A17" s="6" t="s">
        <v>243</v>
      </c>
      <c r="B17" s="8">
        <v>0.16429552917499701</v>
      </c>
      <c r="C17" s="8">
        <v>0.18031190384076601</v>
      </c>
      <c r="D17" s="8">
        <v>0.185772700918514</v>
      </c>
    </row>
    <row r="18" spans="1:4" x14ac:dyDescent="0.2">
      <c r="A18" s="6" t="s">
        <v>244</v>
      </c>
      <c r="B18" s="8">
        <v>0.20379140596859599</v>
      </c>
      <c r="C18" s="8">
        <v>0.19910694036549501</v>
      </c>
      <c r="D18" s="8">
        <v>0.197627935836275</v>
      </c>
    </row>
    <row r="19" spans="1:4" x14ac:dyDescent="0.2">
      <c r="A19" s="6" t="s">
        <v>245</v>
      </c>
      <c r="B19" s="8">
        <v>0.191106376247587</v>
      </c>
      <c r="C19" s="8">
        <v>0.16384385368763499</v>
      </c>
      <c r="D19" s="8">
        <v>0.149749265087325</v>
      </c>
    </row>
    <row r="20" spans="1:4" x14ac:dyDescent="0.2">
      <c r="A20" s="6" t="s">
        <v>246</v>
      </c>
      <c r="B20" s="8">
        <v>0.12054018101324</v>
      </c>
      <c r="C20" s="8">
        <v>8.8084343250500796E-2</v>
      </c>
      <c r="D20" s="8">
        <v>7.3582813723794896E-2</v>
      </c>
    </row>
    <row r="21" spans="1:4" x14ac:dyDescent="0.2">
      <c r="A21" s="6" t="s">
        <v>247</v>
      </c>
      <c r="B21" s="8">
        <v>4.4782576379849601E-2</v>
      </c>
      <c r="C21" s="8">
        <v>2.8080112366188799E-2</v>
      </c>
      <c r="D21" s="8">
        <v>2.1528618364170901E-2</v>
      </c>
    </row>
    <row r="22" spans="1:4" x14ac:dyDescent="0.2">
      <c r="A22" s="6" t="s">
        <v>248</v>
      </c>
      <c r="B22" s="8">
        <v>7.97007125800199E-3</v>
      </c>
      <c r="C22" s="8">
        <v>4.6234798832885801E-3</v>
      </c>
      <c r="D22" s="8">
        <v>3.9517449725869997E-3</v>
      </c>
    </row>
    <row r="23" spans="1:4" x14ac:dyDescent="0.2">
      <c r="A23" s="6" t="s">
        <v>249</v>
      </c>
      <c r="B23" s="8">
        <v>8.3855364742249595E-4</v>
      </c>
      <c r="C23" s="8">
        <v>4.9169736598864502E-4</v>
      </c>
      <c r="D23" s="8">
        <v>6.8151071599312403E-4</v>
      </c>
    </row>
    <row r="24" spans="1:4" x14ac:dyDescent="0.2">
      <c r="A24" s="6" t="s">
        <v>250</v>
      </c>
      <c r="B24" s="8">
        <v>1.2387724336923199E-4</v>
      </c>
      <c r="C24" s="8">
        <v>8.5761168486391594E-5</v>
      </c>
      <c r="D24" s="8">
        <v>1.3731932337174901E-4</v>
      </c>
    </row>
    <row r="25" spans="1:4" x14ac:dyDescent="0.2">
      <c r="A25" s="6" t="s">
        <v>251</v>
      </c>
      <c r="B25" s="8">
        <v>4.9550897347692902E-5</v>
      </c>
      <c r="C25" s="8">
        <v>4.1927682371124802E-5</v>
      </c>
      <c r="D25" s="8">
        <v>3.5601306059342299E-5</v>
      </c>
    </row>
    <row r="26" spans="1:4" x14ac:dyDescent="0.2">
      <c r="A26" s="12" t="s">
        <v>252</v>
      </c>
      <c r="B26" s="13">
        <f>SUM(B5:B25)</f>
        <v>1.0000000000000007</v>
      </c>
      <c r="C26" s="13">
        <f>SUM(C5:C25)</f>
        <v>0.99999999999999944</v>
      </c>
      <c r="D26" s="13">
        <f>SUM(D5:D25)</f>
        <v>1.0000000000000007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showGridLines="0" zoomScaleNormal="100" workbookViewId="0">
      <selection activeCell="C24" sqref="C24:D29"/>
    </sheetView>
  </sheetViews>
  <sheetFormatPr baseColWidth="10" defaultColWidth="8.6640625" defaultRowHeight="15" x14ac:dyDescent="0.2"/>
  <cols>
    <col min="1" max="1" width="44" customWidth="1"/>
    <col min="2" max="2" width="16" customWidth="1"/>
    <col min="3" max="4" width="18" customWidth="1"/>
    <col min="5" max="5" width="30" customWidth="1"/>
  </cols>
  <sheetData>
    <row r="1" spans="1:5" ht="18" x14ac:dyDescent="0.2">
      <c r="A1" s="1" t="s">
        <v>253</v>
      </c>
      <c r="B1" s="2"/>
      <c r="C1" s="2"/>
      <c r="D1" s="2"/>
      <c r="E1" s="2"/>
    </row>
    <row r="2" spans="1:5" x14ac:dyDescent="0.2">
      <c r="A2" s="3" t="s">
        <v>254</v>
      </c>
      <c r="B2" s="2"/>
      <c r="C2" s="2"/>
      <c r="D2" s="2"/>
      <c r="E2" s="2"/>
    </row>
    <row r="3" spans="1:5" x14ac:dyDescent="0.2">
      <c r="A3" s="2"/>
      <c r="B3" s="2"/>
      <c r="C3" s="2"/>
      <c r="D3" s="2"/>
      <c r="E3" s="2"/>
    </row>
    <row r="4" spans="1:5" x14ac:dyDescent="0.2">
      <c r="A4" s="4" t="s">
        <v>255</v>
      </c>
      <c r="B4" s="2"/>
      <c r="C4" s="2"/>
      <c r="D4" s="2"/>
      <c r="E4" s="2"/>
    </row>
    <row r="5" spans="1:5" ht="28" x14ac:dyDescent="0.2">
      <c r="A5" s="5" t="s">
        <v>256</v>
      </c>
      <c r="B5" s="5" t="s">
        <v>257</v>
      </c>
      <c r="C5" s="5" t="s">
        <v>258</v>
      </c>
      <c r="D5" s="5" t="s">
        <v>259</v>
      </c>
      <c r="E5" s="5" t="s">
        <v>260</v>
      </c>
    </row>
    <row r="6" spans="1:5" x14ac:dyDescent="0.2">
      <c r="A6" s="6" t="s">
        <v>261</v>
      </c>
      <c r="B6" s="6">
        <v>33</v>
      </c>
      <c r="C6" s="6">
        <v>33</v>
      </c>
      <c r="D6" s="6">
        <v>34</v>
      </c>
      <c r="E6" s="6"/>
    </row>
    <row r="7" spans="1:5" x14ac:dyDescent="0.2">
      <c r="A7" s="6" t="s">
        <v>262</v>
      </c>
      <c r="B7" s="6">
        <v>31</v>
      </c>
      <c r="C7" s="6">
        <v>30</v>
      </c>
      <c r="D7" s="6">
        <v>32</v>
      </c>
      <c r="E7" s="6" t="s">
        <v>263</v>
      </c>
    </row>
    <row r="8" spans="1:5" x14ac:dyDescent="0.2">
      <c r="A8" s="6" t="s">
        <v>264</v>
      </c>
      <c r="B8" s="6">
        <v>23</v>
      </c>
      <c r="C8" s="6">
        <v>23</v>
      </c>
      <c r="D8" s="6">
        <v>24</v>
      </c>
      <c r="E8" s="6"/>
    </row>
    <row r="9" spans="1:5" x14ac:dyDescent="0.2">
      <c r="A9" s="6" t="s">
        <v>265</v>
      </c>
      <c r="B9" s="6">
        <v>24</v>
      </c>
      <c r="C9" s="6">
        <v>24</v>
      </c>
      <c r="D9" s="6">
        <v>25</v>
      </c>
      <c r="E9" s="6"/>
    </row>
    <row r="10" spans="1:5" x14ac:dyDescent="0.2">
      <c r="A10" s="6" t="s">
        <v>266</v>
      </c>
      <c r="B10" s="6">
        <v>16</v>
      </c>
      <c r="C10" s="6"/>
      <c r="D10" s="6"/>
      <c r="E10" s="6" t="s">
        <v>267</v>
      </c>
    </row>
    <row r="11" spans="1:5" x14ac:dyDescent="0.2">
      <c r="A11" s="6" t="s">
        <v>268</v>
      </c>
      <c r="B11" s="6">
        <v>30</v>
      </c>
      <c r="C11" s="6">
        <v>30</v>
      </c>
      <c r="D11" s="6">
        <v>32</v>
      </c>
      <c r="E11" s="6" t="s">
        <v>269</v>
      </c>
    </row>
    <row r="12" spans="1:5" x14ac:dyDescent="0.2">
      <c r="A12" s="6" t="s">
        <v>270</v>
      </c>
      <c r="B12" s="6">
        <v>30</v>
      </c>
      <c r="C12" s="6">
        <v>30</v>
      </c>
      <c r="D12" s="6">
        <v>31</v>
      </c>
      <c r="E12" s="6"/>
    </row>
    <row r="13" spans="1:5" x14ac:dyDescent="0.2">
      <c r="A13" s="6" t="s">
        <v>271</v>
      </c>
      <c r="B13" s="6">
        <v>13</v>
      </c>
      <c r="C13" s="6"/>
      <c r="D13" s="6"/>
      <c r="E13" s="6" t="s">
        <v>272</v>
      </c>
    </row>
    <row r="14" spans="1:5" x14ac:dyDescent="0.2">
      <c r="A14" s="2"/>
      <c r="B14" s="2"/>
      <c r="C14" s="2"/>
      <c r="D14" s="2"/>
      <c r="E14" s="2"/>
    </row>
    <row r="15" spans="1:5" ht="30" customHeight="1" x14ac:dyDescent="0.2">
      <c r="A15" s="24" t="s">
        <v>273</v>
      </c>
      <c r="B15" s="24"/>
      <c r="C15" s="24"/>
      <c r="D15" s="24"/>
      <c r="E15" s="24"/>
    </row>
    <row r="16" spans="1:5" x14ac:dyDescent="0.2">
      <c r="A16" s="2"/>
      <c r="B16" s="2"/>
      <c r="C16" s="2"/>
      <c r="D16" s="2"/>
      <c r="E16" s="2"/>
    </row>
    <row r="17" spans="1:5" x14ac:dyDescent="0.2">
      <c r="A17" s="4" t="s">
        <v>274</v>
      </c>
      <c r="B17" s="2"/>
      <c r="C17" s="2"/>
      <c r="D17" s="2"/>
      <c r="E17" s="2"/>
    </row>
    <row r="18" spans="1:5" ht="28" x14ac:dyDescent="0.2">
      <c r="A18" s="5" t="s">
        <v>275</v>
      </c>
      <c r="B18" s="5" t="s">
        <v>276</v>
      </c>
      <c r="C18" s="5" t="s">
        <v>277</v>
      </c>
      <c r="D18" s="5" t="s">
        <v>278</v>
      </c>
    </row>
    <row r="19" spans="1:5" x14ac:dyDescent="0.2">
      <c r="A19" s="6" t="s">
        <v>279</v>
      </c>
      <c r="B19" s="14">
        <v>0.39</v>
      </c>
      <c r="C19" s="6">
        <v>52</v>
      </c>
      <c r="D19" s="6">
        <v>4</v>
      </c>
    </row>
    <row r="20" spans="1:5" x14ac:dyDescent="0.2">
      <c r="A20" s="6" t="s">
        <v>280</v>
      </c>
      <c r="B20" s="14">
        <v>0.66</v>
      </c>
      <c r="C20" s="6">
        <v>59</v>
      </c>
      <c r="D20" s="6">
        <v>21</v>
      </c>
    </row>
    <row r="21" spans="1:5" x14ac:dyDescent="0.2">
      <c r="A21" s="6" t="s">
        <v>281</v>
      </c>
      <c r="B21" s="14">
        <v>0.7</v>
      </c>
      <c r="C21" s="6">
        <v>58</v>
      </c>
      <c r="D21" s="6">
        <v>20</v>
      </c>
    </row>
    <row r="22" spans="1:5" x14ac:dyDescent="0.2">
      <c r="A22" s="2"/>
      <c r="B22" s="2"/>
      <c r="C22" s="2"/>
      <c r="D22" s="2"/>
      <c r="E22" s="2"/>
    </row>
    <row r="23" spans="1:5" x14ac:dyDescent="0.2">
      <c r="A23" s="4" t="s">
        <v>282</v>
      </c>
      <c r="B23" s="2"/>
      <c r="C23" s="2"/>
      <c r="D23" s="2"/>
      <c r="E23" s="2"/>
    </row>
    <row r="24" spans="1:5" x14ac:dyDescent="0.2">
      <c r="A24" s="5" t="s">
        <v>283</v>
      </c>
      <c r="B24" s="5" t="s">
        <v>284</v>
      </c>
      <c r="C24" s="5" t="s">
        <v>285</v>
      </c>
    </row>
    <row r="25" spans="1:5" ht="140" x14ac:dyDescent="0.2">
      <c r="A25" s="6" t="s">
        <v>286</v>
      </c>
      <c r="B25" s="6" t="s">
        <v>287</v>
      </c>
      <c r="C25" s="6" t="s">
        <v>288</v>
      </c>
    </row>
    <row r="26" spans="1:5" ht="56" x14ac:dyDescent="0.2">
      <c r="A26" s="6" t="s">
        <v>289</v>
      </c>
      <c r="B26" s="6" t="s">
        <v>290</v>
      </c>
      <c r="C26" s="6" t="s">
        <v>291</v>
      </c>
    </row>
    <row r="27" spans="1:5" ht="28" x14ac:dyDescent="0.2">
      <c r="A27" s="6" t="s">
        <v>292</v>
      </c>
      <c r="B27" s="6" t="s">
        <v>293</v>
      </c>
      <c r="C27" s="6" t="s">
        <v>294</v>
      </c>
    </row>
    <row r="28" spans="1:5" ht="84" x14ac:dyDescent="0.2">
      <c r="A28" s="6" t="s">
        <v>295</v>
      </c>
      <c r="B28" s="6" t="s">
        <v>296</v>
      </c>
      <c r="C28" s="6" t="s">
        <v>297</v>
      </c>
    </row>
    <row r="29" spans="1:5" ht="28" x14ac:dyDescent="0.2">
      <c r="A29" s="6" t="s">
        <v>298</v>
      </c>
      <c r="B29" s="6" t="s">
        <v>299</v>
      </c>
      <c r="C29" s="6" t="s">
        <v>300</v>
      </c>
    </row>
  </sheetData>
  <mergeCells count="1"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showGridLines="0" zoomScaleNormal="100" workbookViewId="0">
      <selection activeCell="E5" sqref="E5:E9"/>
    </sheetView>
  </sheetViews>
  <sheetFormatPr baseColWidth="10" defaultColWidth="8.6640625" defaultRowHeight="15" x14ac:dyDescent="0.2"/>
  <cols>
    <col min="1" max="1" width="40" customWidth="1"/>
    <col min="2" max="3" width="16" customWidth="1"/>
    <col min="4" max="4" width="18" customWidth="1"/>
    <col min="5" max="5" width="30" customWidth="1"/>
    <col min="6" max="6" width="18" customWidth="1"/>
  </cols>
  <sheetData>
    <row r="1" spans="1:6" ht="18" x14ac:dyDescent="0.2">
      <c r="A1" s="1" t="s">
        <v>301</v>
      </c>
      <c r="B1" s="2"/>
      <c r="C1" s="2"/>
      <c r="D1" s="2"/>
      <c r="E1" s="2"/>
      <c r="F1" s="2"/>
    </row>
    <row r="2" spans="1:6" x14ac:dyDescent="0.2">
      <c r="A2" s="3" t="s">
        <v>302</v>
      </c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4" t="s">
        <v>303</v>
      </c>
      <c r="B4" s="2"/>
      <c r="C4" s="2"/>
      <c r="D4" s="2"/>
      <c r="E4" s="2"/>
      <c r="F4" s="2"/>
    </row>
    <row r="5" spans="1:6" x14ac:dyDescent="0.2">
      <c r="A5" s="5" t="s">
        <v>304</v>
      </c>
      <c r="B5" s="5" t="s">
        <v>305</v>
      </c>
      <c r="C5" s="5" t="s">
        <v>306</v>
      </c>
      <c r="D5" s="5" t="s">
        <v>307</v>
      </c>
      <c r="E5" s="2"/>
    </row>
    <row r="6" spans="1:6" x14ac:dyDescent="0.2">
      <c r="A6" s="6" t="s">
        <v>308</v>
      </c>
      <c r="B6" s="14">
        <v>4.6666666666666696</v>
      </c>
      <c r="C6" s="14">
        <v>1.8</v>
      </c>
      <c r="D6" s="7">
        <v>0</v>
      </c>
      <c r="E6" s="2"/>
    </row>
    <row r="7" spans="1:6" x14ac:dyDescent="0.2">
      <c r="A7" s="6" t="s">
        <v>309</v>
      </c>
      <c r="B7" s="14">
        <v>1.2333333333333301</v>
      </c>
      <c r="C7" s="14">
        <v>8.0299999999999994</v>
      </c>
      <c r="D7" s="7">
        <v>23</v>
      </c>
      <c r="E7" s="2"/>
    </row>
    <row r="8" spans="1:6" x14ac:dyDescent="0.2">
      <c r="A8" s="6" t="s">
        <v>310</v>
      </c>
      <c r="B8" s="14">
        <v>2.81666666666667</v>
      </c>
      <c r="C8" s="14">
        <v>2.94</v>
      </c>
      <c r="D8" s="7">
        <v>7</v>
      </c>
      <c r="E8" s="2"/>
    </row>
    <row r="9" spans="1:6" x14ac:dyDescent="0.2">
      <c r="A9" s="15" t="s">
        <v>252</v>
      </c>
      <c r="B9" s="16">
        <f>SUM(B6:B8)</f>
        <v>8.7166666666666686</v>
      </c>
      <c r="C9" s="17"/>
      <c r="D9" s="18">
        <f>SUM(D6:D8)</f>
        <v>30</v>
      </c>
      <c r="E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4" t="s">
        <v>311</v>
      </c>
      <c r="B11" s="2"/>
      <c r="C11" s="2"/>
      <c r="D11" s="2"/>
      <c r="E11" s="2"/>
      <c r="F11" s="2"/>
    </row>
    <row r="12" spans="1:6" x14ac:dyDescent="0.2">
      <c r="A12" s="5" t="s">
        <v>312</v>
      </c>
      <c r="B12" s="5" t="s">
        <v>313</v>
      </c>
      <c r="C12" s="5" t="s">
        <v>314</v>
      </c>
      <c r="D12" s="2"/>
    </row>
    <row r="13" spans="1:6" x14ac:dyDescent="0.2">
      <c r="A13" s="6" t="s">
        <v>315</v>
      </c>
      <c r="B13" s="7">
        <v>1500</v>
      </c>
      <c r="C13" s="6" t="s">
        <v>316</v>
      </c>
      <c r="D13" s="2"/>
    </row>
    <row r="14" spans="1:6" ht="28" x14ac:dyDescent="0.2">
      <c r="A14" s="6" t="s">
        <v>317</v>
      </c>
      <c r="B14" s="7">
        <v>7000</v>
      </c>
      <c r="C14" s="6" t="s">
        <v>318</v>
      </c>
      <c r="D14" s="2"/>
    </row>
    <row r="15" spans="1:6" ht="42" x14ac:dyDescent="0.2">
      <c r="A15" s="6" t="s">
        <v>319</v>
      </c>
      <c r="B15" s="7">
        <v>885</v>
      </c>
      <c r="C15" s="6" t="s">
        <v>320</v>
      </c>
      <c r="D15" s="2"/>
    </row>
    <row r="16" spans="1:6" ht="28" x14ac:dyDescent="0.2">
      <c r="A16" s="6" t="s">
        <v>321</v>
      </c>
      <c r="B16" s="7">
        <v>11653</v>
      </c>
      <c r="C16" s="6" t="s">
        <v>322</v>
      </c>
      <c r="D16" s="2"/>
    </row>
    <row r="17" spans="1:6" ht="28" x14ac:dyDescent="0.2">
      <c r="A17" s="6" t="s">
        <v>323</v>
      </c>
      <c r="B17" s="7">
        <v>5000</v>
      </c>
      <c r="C17" s="6" t="s">
        <v>324</v>
      </c>
      <c r="D17" s="2"/>
    </row>
    <row r="18" spans="1:6" ht="42" x14ac:dyDescent="0.2">
      <c r="A18" s="6" t="s">
        <v>325</v>
      </c>
      <c r="B18" s="7">
        <v>3400</v>
      </c>
      <c r="C18" s="6" t="s">
        <v>326</v>
      </c>
      <c r="D18" s="2"/>
    </row>
    <row r="19" spans="1:6" ht="28" x14ac:dyDescent="0.2">
      <c r="A19" s="6" t="s">
        <v>327</v>
      </c>
      <c r="B19" s="7">
        <v>5539</v>
      </c>
      <c r="C19" s="6" t="s">
        <v>328</v>
      </c>
      <c r="D19" s="2"/>
    </row>
    <row r="20" spans="1:6" ht="42" x14ac:dyDescent="0.2">
      <c r="A20" s="6" t="s">
        <v>329</v>
      </c>
      <c r="B20" s="7">
        <v>3905</v>
      </c>
      <c r="C20" s="6" t="s">
        <v>330</v>
      </c>
      <c r="D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4" t="s">
        <v>331</v>
      </c>
      <c r="B22" s="2"/>
      <c r="C22" s="2"/>
      <c r="D22" s="2"/>
      <c r="E22" s="2"/>
      <c r="F22" s="2"/>
    </row>
    <row r="23" spans="1:6" ht="42" x14ac:dyDescent="0.2">
      <c r="A23" s="5" t="s">
        <v>332</v>
      </c>
      <c r="B23" s="5" t="s">
        <v>313</v>
      </c>
      <c r="C23" s="5" t="s">
        <v>333</v>
      </c>
      <c r="D23" s="5" t="s">
        <v>334</v>
      </c>
      <c r="E23" s="5" t="s">
        <v>335</v>
      </c>
      <c r="F23" s="5" t="s">
        <v>336</v>
      </c>
    </row>
    <row r="24" spans="1:6" x14ac:dyDescent="0.2">
      <c r="A24" s="6" t="s">
        <v>337</v>
      </c>
      <c r="B24" s="7">
        <v>29336</v>
      </c>
      <c r="C24" s="7">
        <v>28185</v>
      </c>
      <c r="D24" s="8">
        <f>C24/B24</f>
        <v>0.96076493046086719</v>
      </c>
      <c r="E24" s="7">
        <v>1145</v>
      </c>
      <c r="F24" s="7">
        <v>28058</v>
      </c>
    </row>
    <row r="25" spans="1:6" x14ac:dyDescent="0.2">
      <c r="A25" s="6" t="s">
        <v>338</v>
      </c>
      <c r="B25" s="7">
        <v>38780</v>
      </c>
      <c r="C25" s="7">
        <v>37254</v>
      </c>
      <c r="D25" s="8">
        <f>C25/B25</f>
        <v>0.96064981949458483</v>
      </c>
      <c r="E25" s="7">
        <v>1520</v>
      </c>
      <c r="F25" s="7">
        <v>37112</v>
      </c>
    </row>
    <row r="26" spans="1:6" x14ac:dyDescent="0.2">
      <c r="A26" s="2"/>
      <c r="B26" s="2"/>
      <c r="C26" s="2"/>
      <c r="D26" s="2"/>
      <c r="E26" s="2"/>
      <c r="F26" s="2"/>
    </row>
    <row r="27" spans="1:6" ht="75" customHeight="1" x14ac:dyDescent="0.2">
      <c r="A27" s="24" t="s">
        <v>339</v>
      </c>
      <c r="B27" s="24"/>
      <c r="C27" s="24"/>
      <c r="D27" s="24"/>
      <c r="E27" s="24"/>
      <c r="F27" s="24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5" t="s">
        <v>340</v>
      </c>
      <c r="B29" s="5" t="s">
        <v>162</v>
      </c>
      <c r="C29" s="2"/>
    </row>
    <row r="30" spans="1:6" x14ac:dyDescent="0.2">
      <c r="A30" s="6" t="s">
        <v>341</v>
      </c>
      <c r="B30" s="6" t="s">
        <v>342</v>
      </c>
      <c r="C30" s="2"/>
    </row>
    <row r="31" spans="1:6" x14ac:dyDescent="0.2">
      <c r="A31" s="6" t="s">
        <v>343</v>
      </c>
      <c r="B31" s="6" t="s">
        <v>344</v>
      </c>
      <c r="C31" s="2"/>
    </row>
    <row r="32" spans="1:6" x14ac:dyDescent="0.2">
      <c r="A32" s="6" t="s">
        <v>345</v>
      </c>
      <c r="B32" s="6" t="s">
        <v>346</v>
      </c>
      <c r="C32" s="2"/>
    </row>
    <row r="33" spans="1:3" x14ac:dyDescent="0.2">
      <c r="A33" s="6" t="s">
        <v>347</v>
      </c>
      <c r="B33" s="6" t="s">
        <v>348</v>
      </c>
      <c r="C33" s="2"/>
    </row>
    <row r="34" spans="1:3" ht="28" x14ac:dyDescent="0.2">
      <c r="A34" s="6" t="s">
        <v>349</v>
      </c>
      <c r="B34" s="6" t="s">
        <v>350</v>
      </c>
      <c r="C34" s="2"/>
    </row>
    <row r="35" spans="1:3" ht="28" x14ac:dyDescent="0.2">
      <c r="A35" s="6" t="s">
        <v>351</v>
      </c>
      <c r="B35" s="6" t="s">
        <v>352</v>
      </c>
      <c r="C35" s="2"/>
    </row>
  </sheetData>
  <mergeCells count="1"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showGridLines="0" topLeftCell="A4" zoomScaleNormal="100" workbookViewId="0">
      <selection activeCell="E15" sqref="E15:E22"/>
    </sheetView>
  </sheetViews>
  <sheetFormatPr baseColWidth="10" defaultColWidth="8.6640625" defaultRowHeight="15" x14ac:dyDescent="0.2"/>
  <cols>
    <col min="1" max="1" width="36" customWidth="1"/>
    <col min="2" max="4" width="16" customWidth="1"/>
    <col min="5" max="5" width="30" customWidth="1"/>
  </cols>
  <sheetData>
    <row r="1" spans="1:5" ht="18" x14ac:dyDescent="0.2">
      <c r="A1" s="1" t="s">
        <v>353</v>
      </c>
      <c r="B1" s="2"/>
      <c r="C1" s="2"/>
      <c r="D1" s="2"/>
      <c r="E1" s="2"/>
    </row>
    <row r="2" spans="1:5" x14ac:dyDescent="0.2">
      <c r="A2" s="3" t="s">
        <v>354</v>
      </c>
      <c r="B2" s="2"/>
      <c r="C2" s="2"/>
      <c r="D2" s="2"/>
      <c r="E2" s="2"/>
    </row>
    <row r="3" spans="1:5" x14ac:dyDescent="0.2">
      <c r="A3" s="2"/>
      <c r="B3" s="2"/>
      <c r="C3" s="2"/>
      <c r="D3" s="2"/>
      <c r="E3" s="2"/>
    </row>
    <row r="4" spans="1:5" x14ac:dyDescent="0.2">
      <c r="A4" s="4" t="s">
        <v>355</v>
      </c>
      <c r="B4" s="2"/>
      <c r="C4" s="2"/>
      <c r="D4" s="2"/>
      <c r="E4" s="2"/>
    </row>
    <row r="5" spans="1:5" x14ac:dyDescent="0.2">
      <c r="A5" s="5" t="s">
        <v>356</v>
      </c>
      <c r="B5" s="5" t="s">
        <v>333</v>
      </c>
      <c r="C5" s="5" t="s">
        <v>357</v>
      </c>
      <c r="D5" s="5" t="s">
        <v>358</v>
      </c>
    </row>
    <row r="6" spans="1:5" x14ac:dyDescent="0.2">
      <c r="A6" s="6" t="s">
        <v>359</v>
      </c>
      <c r="B6" s="7">
        <v>185</v>
      </c>
      <c r="C6" s="7">
        <v>7000</v>
      </c>
      <c r="D6" s="8">
        <f>B6/C6</f>
        <v>2.642857142857143E-2</v>
      </c>
    </row>
    <row r="7" spans="1:5" x14ac:dyDescent="0.2">
      <c r="A7" s="6" t="s">
        <v>360</v>
      </c>
      <c r="B7" s="7">
        <v>1874</v>
      </c>
      <c r="C7" s="7">
        <v>7000</v>
      </c>
      <c r="D7" s="8">
        <f>B7/C7</f>
        <v>0.26771428571428574</v>
      </c>
    </row>
    <row r="8" spans="1:5" x14ac:dyDescent="0.2">
      <c r="A8" s="6" t="s">
        <v>361</v>
      </c>
      <c r="B8" s="7">
        <v>98</v>
      </c>
      <c r="C8" s="7">
        <v>7000</v>
      </c>
      <c r="D8" s="8">
        <f>B8/C8</f>
        <v>1.4E-2</v>
      </c>
    </row>
    <row r="9" spans="1:5" x14ac:dyDescent="0.2">
      <c r="A9" s="6" t="s">
        <v>362</v>
      </c>
      <c r="B9" s="7">
        <v>81</v>
      </c>
      <c r="C9" s="7">
        <v>7000</v>
      </c>
      <c r="D9" s="8">
        <f>B9/C9</f>
        <v>1.1571428571428571E-2</v>
      </c>
    </row>
    <row r="10" spans="1:5" x14ac:dyDescent="0.2">
      <c r="A10" s="6" t="s">
        <v>363</v>
      </c>
      <c r="B10" s="7">
        <v>20</v>
      </c>
      <c r="C10" s="7">
        <v>7000</v>
      </c>
      <c r="D10" s="8">
        <f>B10/C10</f>
        <v>2.8571428571428571E-3</v>
      </c>
    </row>
    <row r="11" spans="1:5" x14ac:dyDescent="0.2">
      <c r="A11" s="2"/>
      <c r="B11" s="2"/>
      <c r="C11" s="2"/>
      <c r="D11" s="2"/>
      <c r="E11" s="2"/>
    </row>
    <row r="12" spans="1:5" ht="30" customHeight="1" x14ac:dyDescent="0.2">
      <c r="A12" s="24" t="s">
        <v>364</v>
      </c>
      <c r="B12" s="24"/>
      <c r="C12" s="24"/>
      <c r="D12" s="24"/>
      <c r="E12" s="24"/>
    </row>
    <row r="13" spans="1:5" x14ac:dyDescent="0.2">
      <c r="A13" s="2"/>
      <c r="B13" s="2"/>
      <c r="C13" s="2"/>
      <c r="D13" s="2"/>
      <c r="E13" s="2"/>
    </row>
    <row r="14" spans="1:5" x14ac:dyDescent="0.2">
      <c r="A14" s="4" t="s">
        <v>365</v>
      </c>
      <c r="B14" s="2"/>
      <c r="C14" s="2"/>
      <c r="D14" s="2"/>
      <c r="E14" s="2"/>
    </row>
    <row r="15" spans="1:5" ht="28" x14ac:dyDescent="0.2">
      <c r="A15" s="5" t="s">
        <v>366</v>
      </c>
      <c r="B15" s="5" t="s">
        <v>367</v>
      </c>
      <c r="C15" s="5" t="s">
        <v>368</v>
      </c>
      <c r="D15" s="5" t="s">
        <v>369</v>
      </c>
    </row>
    <row r="16" spans="1:5" x14ac:dyDescent="0.2">
      <c r="A16" s="6" t="s">
        <v>370</v>
      </c>
      <c r="B16" s="6" t="s">
        <v>363</v>
      </c>
      <c r="C16" s="8">
        <v>0.54800000000000004</v>
      </c>
      <c r="D16" s="6"/>
    </row>
    <row r="17" spans="1:5" ht="28" x14ac:dyDescent="0.2">
      <c r="A17" s="6" t="s">
        <v>370</v>
      </c>
      <c r="B17" s="6" t="s">
        <v>362</v>
      </c>
      <c r="C17" s="8">
        <v>0.67</v>
      </c>
      <c r="D17" s="6"/>
    </row>
    <row r="18" spans="1:5" ht="28" x14ac:dyDescent="0.2">
      <c r="A18" s="6" t="s">
        <v>370</v>
      </c>
      <c r="B18" s="6" t="s">
        <v>361</v>
      </c>
      <c r="C18" s="8">
        <v>0.72799999999999998</v>
      </c>
      <c r="D18" s="6"/>
    </row>
    <row r="19" spans="1:5" x14ac:dyDescent="0.2">
      <c r="A19" s="6" t="s">
        <v>371</v>
      </c>
      <c r="B19" s="6" t="s">
        <v>359</v>
      </c>
      <c r="C19" s="8">
        <f>D19/5539</f>
        <v>0.47932839862791116</v>
      </c>
      <c r="D19" s="7">
        <v>2655</v>
      </c>
    </row>
    <row r="20" spans="1:5" x14ac:dyDescent="0.2">
      <c r="A20" s="6" t="s">
        <v>372</v>
      </c>
      <c r="B20" s="6" t="s">
        <v>363</v>
      </c>
      <c r="C20" s="8">
        <v>0.38800000000000001</v>
      </c>
      <c r="D20" s="7">
        <v>1202</v>
      </c>
    </row>
    <row r="21" spans="1:5" ht="28" x14ac:dyDescent="0.2">
      <c r="A21" s="6" t="s">
        <v>372</v>
      </c>
      <c r="B21" s="6" t="s">
        <v>362</v>
      </c>
      <c r="C21" s="8">
        <v>0.60899999999999999</v>
      </c>
      <c r="D21" s="7">
        <v>384</v>
      </c>
    </row>
    <row r="22" spans="1:5" ht="28" x14ac:dyDescent="0.2">
      <c r="A22" s="6" t="s">
        <v>372</v>
      </c>
      <c r="B22" s="6" t="s">
        <v>361</v>
      </c>
      <c r="C22" s="8">
        <v>0.70699999999999996</v>
      </c>
      <c r="D22" s="7">
        <v>123</v>
      </c>
    </row>
    <row r="23" spans="1:5" x14ac:dyDescent="0.2">
      <c r="A23" s="2"/>
      <c r="B23" s="2"/>
      <c r="C23" s="2"/>
      <c r="D23" s="2"/>
      <c r="E23" s="2"/>
    </row>
    <row r="24" spans="1:5" ht="45" customHeight="1" x14ac:dyDescent="0.2">
      <c r="A24" s="24" t="s">
        <v>373</v>
      </c>
      <c r="B24" s="24"/>
      <c r="C24" s="24"/>
      <c r="D24" s="24"/>
      <c r="E24" s="24"/>
    </row>
  </sheetData>
  <mergeCells count="2">
    <mergeCell ref="A12:E12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showGridLines="0" zoomScaleNormal="100" workbookViewId="0"/>
  </sheetViews>
  <sheetFormatPr baseColWidth="10" defaultColWidth="8.6640625" defaultRowHeight="15" x14ac:dyDescent="0.2"/>
  <cols>
    <col min="1" max="1" width="36" customWidth="1"/>
    <col min="2" max="4" width="16" customWidth="1"/>
    <col min="5" max="5" width="14" customWidth="1"/>
    <col min="6" max="7" width="18" customWidth="1"/>
    <col min="8" max="8" width="14" customWidth="1"/>
  </cols>
  <sheetData>
    <row r="1" spans="1:8" ht="18" x14ac:dyDescent="0.2">
      <c r="A1" s="1" t="s">
        <v>374</v>
      </c>
      <c r="B1" s="2"/>
      <c r="C1" s="2"/>
      <c r="D1" s="2"/>
      <c r="E1" s="2"/>
      <c r="F1" s="2"/>
      <c r="G1" s="2"/>
      <c r="H1" s="2"/>
    </row>
    <row r="2" spans="1:8" x14ac:dyDescent="0.2">
      <c r="A2" s="3" t="s">
        <v>375</v>
      </c>
      <c r="B2" s="2"/>
      <c r="C2" s="2"/>
      <c r="D2" s="2"/>
      <c r="E2" s="2"/>
      <c r="F2" s="2"/>
      <c r="G2" s="2"/>
      <c r="H2" s="2"/>
    </row>
    <row r="3" spans="1:8" x14ac:dyDescent="0.2">
      <c r="A3" s="2"/>
      <c r="B3" s="2"/>
      <c r="C3" s="2"/>
      <c r="D3" s="2"/>
      <c r="E3" s="2"/>
      <c r="F3" s="2"/>
      <c r="G3" s="2"/>
      <c r="H3" s="2"/>
    </row>
    <row r="4" spans="1:8" ht="42" x14ac:dyDescent="0.2">
      <c r="A4" s="5" t="s">
        <v>376</v>
      </c>
      <c r="B4" s="5" t="s">
        <v>377</v>
      </c>
      <c r="C4" s="5" t="s">
        <v>378</v>
      </c>
      <c r="D4" s="5" t="s">
        <v>379</v>
      </c>
      <c r="E4" s="5" t="s">
        <v>380</v>
      </c>
      <c r="F4" s="5" t="s">
        <v>381</v>
      </c>
      <c r="G4" s="5" t="s">
        <v>382</v>
      </c>
      <c r="H4" s="5" t="s">
        <v>6</v>
      </c>
    </row>
    <row r="5" spans="1:8" x14ac:dyDescent="0.2">
      <c r="A5" s="6" t="s">
        <v>383</v>
      </c>
      <c r="B5" s="7">
        <v>11657</v>
      </c>
      <c r="C5" s="7">
        <v>13581</v>
      </c>
      <c r="D5" s="7">
        <v>13646</v>
      </c>
      <c r="E5" s="7">
        <v>2000</v>
      </c>
      <c r="F5" s="7">
        <f t="shared" ref="F5:F13" si="0">MAX(0,E5-C5)</f>
        <v>0</v>
      </c>
      <c r="G5" s="7">
        <v>2000</v>
      </c>
      <c r="H5" s="6" t="str">
        <f t="shared" ref="H5:H13" si="1">IF(C5&gt;=E5,"cubierta","corta")</f>
        <v>cubierta</v>
      </c>
    </row>
    <row r="6" spans="1:8" x14ac:dyDescent="0.2">
      <c r="A6" s="6" t="s">
        <v>360</v>
      </c>
      <c r="B6" s="7">
        <v>3012</v>
      </c>
      <c r="C6" s="7">
        <v>4959</v>
      </c>
      <c r="D6" s="7">
        <v>4975</v>
      </c>
      <c r="E6" s="7">
        <v>2000</v>
      </c>
      <c r="F6" s="7">
        <f t="shared" si="0"/>
        <v>0</v>
      </c>
      <c r="G6" s="7">
        <v>2000</v>
      </c>
      <c r="H6" s="6" t="str">
        <f t="shared" si="1"/>
        <v>cubierta</v>
      </c>
    </row>
    <row r="7" spans="1:8" x14ac:dyDescent="0.2">
      <c r="A7" s="6" t="s">
        <v>384</v>
      </c>
      <c r="B7" s="7">
        <v>3682</v>
      </c>
      <c r="C7" s="7">
        <v>3793</v>
      </c>
      <c r="D7" s="7">
        <v>3806</v>
      </c>
      <c r="E7" s="7">
        <v>2000</v>
      </c>
      <c r="F7" s="7">
        <f t="shared" si="0"/>
        <v>0</v>
      </c>
      <c r="G7" s="7">
        <v>2000</v>
      </c>
      <c r="H7" s="6" t="str">
        <f t="shared" si="1"/>
        <v>cubierta</v>
      </c>
    </row>
    <row r="8" spans="1:8" x14ac:dyDescent="0.2">
      <c r="A8" s="6" t="s">
        <v>385</v>
      </c>
      <c r="B8" s="7">
        <v>3281</v>
      </c>
      <c r="C8" s="7">
        <v>3605</v>
      </c>
      <c r="D8" s="7">
        <v>3616</v>
      </c>
      <c r="E8" s="7">
        <v>2000</v>
      </c>
      <c r="F8" s="7">
        <f t="shared" si="0"/>
        <v>0</v>
      </c>
      <c r="G8" s="7">
        <v>2000</v>
      </c>
      <c r="H8" s="6" t="str">
        <f t="shared" si="1"/>
        <v>cubierta</v>
      </c>
    </row>
    <row r="9" spans="1:8" x14ac:dyDescent="0.2">
      <c r="A9" s="6" t="s">
        <v>386</v>
      </c>
      <c r="B9" s="7">
        <v>3427</v>
      </c>
      <c r="C9" s="7">
        <v>3463</v>
      </c>
      <c r="D9" s="7">
        <v>3481</v>
      </c>
      <c r="E9" s="7">
        <v>2000</v>
      </c>
      <c r="F9" s="7">
        <f t="shared" si="0"/>
        <v>0</v>
      </c>
      <c r="G9" s="7">
        <v>2000</v>
      </c>
      <c r="H9" s="6" t="str">
        <f t="shared" si="1"/>
        <v>cubierta</v>
      </c>
    </row>
    <row r="10" spans="1:8" x14ac:dyDescent="0.2">
      <c r="A10" s="6" t="s">
        <v>359</v>
      </c>
      <c r="B10" s="7">
        <v>499</v>
      </c>
      <c r="C10" s="7">
        <v>3206</v>
      </c>
      <c r="D10" s="7">
        <v>3210</v>
      </c>
      <c r="E10" s="7">
        <v>2000</v>
      </c>
      <c r="F10" s="7">
        <f t="shared" si="0"/>
        <v>0</v>
      </c>
      <c r="G10" s="7">
        <v>2000</v>
      </c>
      <c r="H10" s="6" t="str">
        <f t="shared" si="1"/>
        <v>cubierta</v>
      </c>
    </row>
    <row r="11" spans="1:8" x14ac:dyDescent="0.2">
      <c r="A11" s="6" t="s">
        <v>362</v>
      </c>
      <c r="B11" s="7">
        <v>1369</v>
      </c>
      <c r="C11" s="7">
        <v>1776</v>
      </c>
      <c r="D11" s="7">
        <v>1786</v>
      </c>
      <c r="E11" s="7">
        <v>2000</v>
      </c>
      <c r="F11" s="7">
        <f t="shared" si="0"/>
        <v>224</v>
      </c>
      <c r="G11" s="7">
        <v>1786</v>
      </c>
      <c r="H11" s="6" t="str">
        <f t="shared" si="1"/>
        <v>corta</v>
      </c>
    </row>
    <row r="12" spans="1:8" x14ac:dyDescent="0.2">
      <c r="A12" s="6" t="s">
        <v>363</v>
      </c>
      <c r="B12" s="7">
        <v>566</v>
      </c>
      <c r="C12" s="7">
        <v>1773</v>
      </c>
      <c r="D12" s="7">
        <v>1776</v>
      </c>
      <c r="E12" s="7">
        <v>2000</v>
      </c>
      <c r="F12" s="7">
        <f t="shared" si="0"/>
        <v>227</v>
      </c>
      <c r="G12" s="7">
        <v>1776</v>
      </c>
      <c r="H12" s="6" t="str">
        <f t="shared" si="1"/>
        <v>corta</v>
      </c>
    </row>
    <row r="13" spans="1:8" x14ac:dyDescent="0.2">
      <c r="A13" s="6" t="s">
        <v>361</v>
      </c>
      <c r="B13" s="7">
        <v>565</v>
      </c>
      <c r="C13" s="7">
        <v>956</v>
      </c>
      <c r="D13" s="7">
        <v>958</v>
      </c>
      <c r="E13" s="7">
        <v>2000</v>
      </c>
      <c r="F13" s="7">
        <f t="shared" si="0"/>
        <v>1044</v>
      </c>
      <c r="G13" s="7">
        <v>958</v>
      </c>
      <c r="H13" s="6" t="str">
        <f t="shared" si="1"/>
        <v>corta</v>
      </c>
    </row>
    <row r="14" spans="1:8" x14ac:dyDescent="0.2">
      <c r="A14" s="15" t="s">
        <v>252</v>
      </c>
      <c r="B14" s="19">
        <f>SUM(B5:B13)</f>
        <v>28058</v>
      </c>
      <c r="C14" s="19">
        <f>SUM(C5:C13)</f>
        <v>37112</v>
      </c>
      <c r="D14" s="19">
        <f>SUM(D5:D13)</f>
        <v>37254</v>
      </c>
      <c r="E14" s="15"/>
      <c r="F14" s="15"/>
      <c r="G14" s="15"/>
      <c r="H14" s="15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ht="75" customHeight="1" x14ac:dyDescent="0.2">
      <c r="A16" s="24" t="s">
        <v>387</v>
      </c>
      <c r="B16" s="24"/>
      <c r="C16" s="24"/>
      <c r="D16" s="24"/>
      <c r="E16" s="24"/>
      <c r="F16" s="24"/>
      <c r="G16" s="24"/>
      <c r="H16" s="24"/>
    </row>
  </sheetData>
  <mergeCells count="1"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showGridLines="0" zoomScaleNormal="100" workbookViewId="0">
      <selection activeCell="F4" sqref="F4:F7"/>
    </sheetView>
  </sheetViews>
  <sheetFormatPr baseColWidth="10" defaultColWidth="8.6640625" defaultRowHeight="15" x14ac:dyDescent="0.2"/>
  <cols>
    <col min="1" max="1" width="20" customWidth="1"/>
    <col min="2" max="2" width="16" customWidth="1"/>
    <col min="3" max="3" width="14" customWidth="1"/>
    <col min="4" max="4" width="16" customWidth="1"/>
    <col min="5" max="5" width="60" customWidth="1"/>
    <col min="6" max="6" width="10" customWidth="1"/>
  </cols>
  <sheetData>
    <row r="1" spans="1:6" ht="18" x14ac:dyDescent="0.2">
      <c r="A1" s="1" t="s">
        <v>388</v>
      </c>
      <c r="B1" s="2"/>
      <c r="C1" s="2"/>
      <c r="D1" s="2"/>
      <c r="E1" s="2"/>
      <c r="F1" s="2"/>
    </row>
    <row r="2" spans="1:6" x14ac:dyDescent="0.2">
      <c r="A2" s="3" t="s">
        <v>389</v>
      </c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5" t="s">
        <v>390</v>
      </c>
      <c r="B4" s="5" t="s">
        <v>391</v>
      </c>
      <c r="C4" s="5" t="s">
        <v>392</v>
      </c>
      <c r="D4" s="5" t="s">
        <v>393</v>
      </c>
      <c r="E4" s="5" t="s">
        <v>394</v>
      </c>
    </row>
    <row r="5" spans="1:6" ht="42" x14ac:dyDescent="0.2">
      <c r="A5" s="6" t="s">
        <v>395</v>
      </c>
      <c r="B5" s="7">
        <v>60</v>
      </c>
      <c r="C5" s="6" t="s">
        <v>396</v>
      </c>
      <c r="D5" s="14">
        <v>0.63</v>
      </c>
      <c r="E5" s="6" t="s">
        <v>397</v>
      </c>
    </row>
    <row r="6" spans="1:6" ht="42" x14ac:dyDescent="0.2">
      <c r="A6" s="6" t="s">
        <v>398</v>
      </c>
      <c r="B6" s="7">
        <v>30</v>
      </c>
      <c r="C6" s="6">
        <v>7</v>
      </c>
      <c r="D6" s="14">
        <v>0.47</v>
      </c>
      <c r="E6" s="6" t="s">
        <v>399</v>
      </c>
    </row>
    <row r="7" spans="1:6" ht="42" x14ac:dyDescent="0.2">
      <c r="A7" s="6" t="s">
        <v>400</v>
      </c>
      <c r="B7" s="7">
        <v>27</v>
      </c>
      <c r="C7" s="6">
        <v>8</v>
      </c>
      <c r="D7" s="14">
        <v>0.87</v>
      </c>
      <c r="E7" s="6" t="s">
        <v>401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9"/>
  <sheetViews>
    <sheetView showGridLines="0" topLeftCell="A2" zoomScaleNormal="100" workbookViewId="0">
      <selection activeCell="C22" sqref="C22:C29"/>
    </sheetView>
  </sheetViews>
  <sheetFormatPr baseColWidth="10" defaultColWidth="8.6640625" defaultRowHeight="15" x14ac:dyDescent="0.2"/>
  <cols>
    <col min="1" max="1" width="52" customWidth="1"/>
    <col min="2" max="2" width="34" customWidth="1"/>
    <col min="3" max="3" width="30" customWidth="1"/>
  </cols>
  <sheetData>
    <row r="1" spans="1:3" ht="18" x14ac:dyDescent="0.2">
      <c r="A1" s="1" t="s">
        <v>402</v>
      </c>
      <c r="B1" s="2"/>
      <c r="C1" s="2"/>
    </row>
    <row r="2" spans="1:3" x14ac:dyDescent="0.2">
      <c r="A2" s="3" t="s">
        <v>403</v>
      </c>
      <c r="B2" s="2"/>
      <c r="C2" s="2"/>
    </row>
    <row r="3" spans="1:3" x14ac:dyDescent="0.2">
      <c r="A3" s="2"/>
      <c r="B3" s="2"/>
      <c r="C3" s="2"/>
    </row>
    <row r="4" spans="1:3" x14ac:dyDescent="0.2">
      <c r="A4" s="5" t="s">
        <v>404</v>
      </c>
      <c r="B4" s="5" t="s">
        <v>162</v>
      </c>
    </row>
    <row r="5" spans="1:3" x14ac:dyDescent="0.2">
      <c r="A5" s="6" t="s">
        <v>405</v>
      </c>
      <c r="B5" s="6" t="s">
        <v>406</v>
      </c>
    </row>
    <row r="6" spans="1:3" ht="28" x14ac:dyDescent="0.2">
      <c r="A6" s="6" t="s">
        <v>407</v>
      </c>
      <c r="B6" s="6" t="s">
        <v>408</v>
      </c>
    </row>
    <row r="7" spans="1:3" ht="28" x14ac:dyDescent="0.2">
      <c r="A7" s="6" t="s">
        <v>409</v>
      </c>
      <c r="B7" s="6" t="s">
        <v>410</v>
      </c>
    </row>
    <row r="8" spans="1:3" ht="28" x14ac:dyDescent="0.2">
      <c r="A8" s="6" t="s">
        <v>411</v>
      </c>
      <c r="B8" s="6" t="s">
        <v>412</v>
      </c>
    </row>
    <row r="9" spans="1:3" x14ac:dyDescent="0.2">
      <c r="A9" s="6" t="s">
        <v>413</v>
      </c>
      <c r="B9" s="6" t="s">
        <v>414</v>
      </c>
    </row>
    <row r="10" spans="1:3" ht="28" x14ac:dyDescent="0.2">
      <c r="A10" s="6" t="s">
        <v>415</v>
      </c>
      <c r="B10" s="6" t="s">
        <v>416</v>
      </c>
    </row>
    <row r="11" spans="1:3" ht="42" x14ac:dyDescent="0.2">
      <c r="A11" s="6" t="s">
        <v>417</v>
      </c>
      <c r="B11" s="6" t="s">
        <v>418</v>
      </c>
    </row>
    <row r="12" spans="1:3" ht="28" x14ac:dyDescent="0.2">
      <c r="A12" s="6" t="s">
        <v>419</v>
      </c>
      <c r="B12" s="6" t="s">
        <v>420</v>
      </c>
    </row>
    <row r="13" spans="1:3" ht="28" x14ac:dyDescent="0.2">
      <c r="A13" s="6" t="s">
        <v>421</v>
      </c>
      <c r="B13" s="6" t="s">
        <v>422</v>
      </c>
    </row>
    <row r="14" spans="1:3" ht="28" x14ac:dyDescent="0.2">
      <c r="A14" s="6" t="s">
        <v>423</v>
      </c>
      <c r="B14" s="6" t="s">
        <v>424</v>
      </c>
    </row>
    <row r="15" spans="1:3" ht="28" x14ac:dyDescent="0.2">
      <c r="A15" s="6" t="s">
        <v>392</v>
      </c>
      <c r="B15" s="6" t="s">
        <v>425</v>
      </c>
    </row>
    <row r="16" spans="1:3" ht="42" x14ac:dyDescent="0.2">
      <c r="A16" s="6" t="s">
        <v>426</v>
      </c>
      <c r="B16" s="6" t="s">
        <v>427</v>
      </c>
    </row>
    <row r="17" spans="1:3" ht="28" x14ac:dyDescent="0.2">
      <c r="A17" s="6" t="s">
        <v>428</v>
      </c>
      <c r="B17" s="6" t="s">
        <v>429</v>
      </c>
    </row>
    <row r="18" spans="1:3" ht="28" x14ac:dyDescent="0.2">
      <c r="A18" s="6" t="s">
        <v>430</v>
      </c>
      <c r="B18" s="6" t="s">
        <v>431</v>
      </c>
    </row>
    <row r="19" spans="1:3" ht="28" x14ac:dyDescent="0.2">
      <c r="A19" s="6" t="s">
        <v>432</v>
      </c>
      <c r="B19" s="6" t="s">
        <v>433</v>
      </c>
    </row>
    <row r="20" spans="1:3" ht="28" x14ac:dyDescent="0.2">
      <c r="A20" s="6" t="s">
        <v>434</v>
      </c>
      <c r="B20" s="6" t="s">
        <v>435</v>
      </c>
    </row>
    <row r="21" spans="1:3" x14ac:dyDescent="0.2">
      <c r="A21" s="2"/>
      <c r="B21" s="2"/>
      <c r="C21" s="2"/>
    </row>
    <row r="22" spans="1:3" x14ac:dyDescent="0.2">
      <c r="A22" s="5" t="s">
        <v>436</v>
      </c>
      <c r="B22" s="5" t="s">
        <v>162</v>
      </c>
    </row>
    <row r="23" spans="1:3" x14ac:dyDescent="0.2">
      <c r="A23" s="6" t="s">
        <v>437</v>
      </c>
      <c r="B23" s="7">
        <v>18</v>
      </c>
    </row>
    <row r="24" spans="1:3" x14ac:dyDescent="0.2">
      <c r="A24" s="6" t="s">
        <v>438</v>
      </c>
      <c r="B24" s="7">
        <v>330</v>
      </c>
    </row>
    <row r="25" spans="1:3" x14ac:dyDescent="0.2">
      <c r="A25" s="6" t="s">
        <v>439</v>
      </c>
      <c r="B25" s="7">
        <f>B23*B24</f>
        <v>5940</v>
      </c>
    </row>
    <row r="26" spans="1:3" x14ac:dyDescent="0.2">
      <c r="A26" s="6" t="s">
        <v>440</v>
      </c>
      <c r="B26" s="7">
        <v>38780</v>
      </c>
    </row>
    <row r="27" spans="1:3" x14ac:dyDescent="0.2">
      <c r="A27" s="6" t="s">
        <v>441</v>
      </c>
      <c r="B27" s="7">
        <v>37254</v>
      </c>
    </row>
    <row r="28" spans="1:3" x14ac:dyDescent="0.2">
      <c r="A28" s="6" t="s">
        <v>442</v>
      </c>
      <c r="B28" s="8">
        <f>B25/B26</f>
        <v>0.15317173800928313</v>
      </c>
    </row>
    <row r="29" spans="1:3" x14ac:dyDescent="0.2">
      <c r="A29" s="6" t="s">
        <v>443</v>
      </c>
      <c r="B29" s="8">
        <f>B25/B27</f>
        <v>0.15944596553390239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showGridLines="0" zoomScaleNormal="100" workbookViewId="0">
      <selection activeCell="E12" sqref="E12:E14"/>
    </sheetView>
  </sheetViews>
  <sheetFormatPr baseColWidth="10" defaultColWidth="8.6640625" defaultRowHeight="15" x14ac:dyDescent="0.2"/>
  <cols>
    <col min="1" max="1" width="10" customWidth="1"/>
    <col min="2" max="2" width="8" customWidth="1"/>
    <col min="3" max="3" width="44" customWidth="1"/>
    <col min="4" max="4" width="10" customWidth="1"/>
    <col min="5" max="5" width="34" customWidth="1"/>
  </cols>
  <sheetData>
    <row r="1" spans="1:5" ht="18" x14ac:dyDescent="0.2">
      <c r="A1" s="1" t="s">
        <v>444</v>
      </c>
      <c r="B1" s="2"/>
      <c r="C1" s="2"/>
      <c r="D1" s="2"/>
      <c r="E1" s="2"/>
    </row>
    <row r="2" spans="1:5" x14ac:dyDescent="0.2">
      <c r="A2" s="3" t="s">
        <v>445</v>
      </c>
      <c r="B2" s="2"/>
      <c r="C2" s="2"/>
      <c r="D2" s="2"/>
      <c r="E2" s="2"/>
    </row>
    <row r="3" spans="1:5" x14ac:dyDescent="0.2">
      <c r="A3" s="2"/>
      <c r="B3" s="2"/>
      <c r="C3" s="2"/>
      <c r="D3" s="2"/>
      <c r="E3" s="2"/>
    </row>
    <row r="4" spans="1:5" x14ac:dyDescent="0.2">
      <c r="A4" s="5" t="s">
        <v>446</v>
      </c>
      <c r="B4" s="5" t="s">
        <v>447</v>
      </c>
      <c r="C4" s="5" t="s">
        <v>423</v>
      </c>
      <c r="D4" s="5" t="s">
        <v>448</v>
      </c>
      <c r="E4" s="5" t="s">
        <v>6</v>
      </c>
    </row>
    <row r="5" spans="1:5" x14ac:dyDescent="0.2">
      <c r="A5" s="6">
        <v>1</v>
      </c>
      <c r="B5" s="6">
        <v>1</v>
      </c>
      <c r="C5" s="6" t="s">
        <v>449</v>
      </c>
      <c r="D5" s="7">
        <v>16</v>
      </c>
      <c r="E5" s="6" t="s">
        <v>450</v>
      </c>
    </row>
    <row r="6" spans="1:5" x14ac:dyDescent="0.2">
      <c r="A6" s="6">
        <v>1</v>
      </c>
      <c r="B6" s="6">
        <v>2</v>
      </c>
      <c r="C6" s="6" t="s">
        <v>451</v>
      </c>
      <c r="D6" s="7">
        <v>128</v>
      </c>
      <c r="E6" s="6" t="s">
        <v>452</v>
      </c>
    </row>
    <row r="7" spans="1:5" x14ac:dyDescent="0.2">
      <c r="A7" s="6">
        <v>2</v>
      </c>
      <c r="B7" s="6">
        <v>1</v>
      </c>
      <c r="C7" s="6" t="s">
        <v>453</v>
      </c>
      <c r="D7" s="7">
        <v>16</v>
      </c>
      <c r="E7" s="6" t="s">
        <v>454</v>
      </c>
    </row>
    <row r="8" spans="1:5" x14ac:dyDescent="0.2">
      <c r="A8" s="6">
        <v>2</v>
      </c>
      <c r="B8" s="6">
        <v>2</v>
      </c>
      <c r="C8" s="6" t="s">
        <v>455</v>
      </c>
      <c r="D8" s="7">
        <v>48</v>
      </c>
      <c r="E8" s="6" t="s">
        <v>456</v>
      </c>
    </row>
    <row r="9" spans="1:5" x14ac:dyDescent="0.2">
      <c r="A9" s="6">
        <v>2</v>
      </c>
      <c r="B9" s="6">
        <v>3</v>
      </c>
      <c r="C9" s="6" t="s">
        <v>457</v>
      </c>
      <c r="D9" s="6"/>
      <c r="E9" s="6" t="s">
        <v>458</v>
      </c>
    </row>
    <row r="10" spans="1:5" x14ac:dyDescent="0.2">
      <c r="A10" s="6">
        <v>2</v>
      </c>
      <c r="B10" s="6">
        <v>4</v>
      </c>
      <c r="C10" s="6" t="s">
        <v>459</v>
      </c>
      <c r="D10" s="6"/>
      <c r="E10" s="6" t="s">
        <v>460</v>
      </c>
    </row>
    <row r="11" spans="1:5" x14ac:dyDescent="0.2">
      <c r="A11" s="2"/>
      <c r="B11" s="2"/>
      <c r="C11" s="2"/>
      <c r="D11" s="2"/>
      <c r="E11" s="2"/>
    </row>
    <row r="12" spans="1:5" ht="28" x14ac:dyDescent="0.2">
      <c r="A12" s="5" t="s">
        <v>461</v>
      </c>
      <c r="B12" s="5" t="s">
        <v>421</v>
      </c>
      <c r="C12" s="5" t="s">
        <v>462</v>
      </c>
      <c r="D12" s="5" t="s">
        <v>463</v>
      </c>
    </row>
    <row r="13" spans="1:5" ht="70" x14ac:dyDescent="0.2">
      <c r="A13" s="6" t="s">
        <v>464</v>
      </c>
      <c r="B13" s="7">
        <v>990</v>
      </c>
      <c r="C13" s="20">
        <v>1.6</v>
      </c>
      <c r="D13" s="20">
        <f>B13*C13/60</f>
        <v>26.4</v>
      </c>
    </row>
    <row r="14" spans="1:5" ht="56" x14ac:dyDescent="0.2">
      <c r="A14" s="6" t="s">
        <v>465</v>
      </c>
      <c r="B14" s="7">
        <v>440</v>
      </c>
      <c r="C14" s="20">
        <v>1.6</v>
      </c>
      <c r="D14" s="20">
        <f>B14*C14/60</f>
        <v>11.733333333333333</v>
      </c>
    </row>
    <row r="15" spans="1:5" x14ac:dyDescent="0.2">
      <c r="A15" s="2"/>
      <c r="B15" s="2"/>
      <c r="C15" s="2"/>
      <c r="D15" s="2"/>
      <c r="E15" s="2"/>
    </row>
    <row r="16" spans="1:5" ht="30" customHeight="1" x14ac:dyDescent="0.2">
      <c r="A16" s="24" t="s">
        <v>466</v>
      </c>
      <c r="B16" s="24"/>
      <c r="C16" s="24"/>
      <c r="D16" s="24"/>
      <c r="E16" s="24"/>
    </row>
  </sheetData>
  <mergeCells count="1"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1"/>
  <sheetViews>
    <sheetView showGridLines="0" zoomScaleNormal="100" workbookViewId="0">
      <selection activeCell="E4" sqref="E4:E16"/>
    </sheetView>
  </sheetViews>
  <sheetFormatPr baseColWidth="10" defaultColWidth="8.6640625" defaultRowHeight="15" x14ac:dyDescent="0.2"/>
  <cols>
    <col min="1" max="1" width="44" customWidth="1"/>
    <col min="2" max="4" width="16" customWidth="1"/>
    <col min="5" max="5" width="24" customWidth="1"/>
  </cols>
  <sheetData>
    <row r="1" spans="1:5" ht="18" x14ac:dyDescent="0.2">
      <c r="A1" s="1" t="s">
        <v>467</v>
      </c>
      <c r="B1" s="2"/>
      <c r="C1" s="2"/>
      <c r="D1" s="2"/>
      <c r="E1" s="2"/>
    </row>
    <row r="2" spans="1:5" x14ac:dyDescent="0.2">
      <c r="A2" s="3" t="s">
        <v>468</v>
      </c>
      <c r="B2" s="2"/>
      <c r="C2" s="2"/>
      <c r="D2" s="2"/>
      <c r="E2" s="2"/>
    </row>
    <row r="3" spans="1:5" x14ac:dyDescent="0.2">
      <c r="A3" s="2"/>
      <c r="B3" s="2"/>
      <c r="C3" s="2"/>
      <c r="D3" s="2"/>
      <c r="E3" s="2"/>
    </row>
    <row r="4" spans="1:5" x14ac:dyDescent="0.2">
      <c r="A4" s="5" t="s">
        <v>127</v>
      </c>
      <c r="B4" s="5" t="s">
        <v>162</v>
      </c>
      <c r="C4" s="5" t="s">
        <v>252</v>
      </c>
      <c r="D4" s="5" t="s">
        <v>469</v>
      </c>
    </row>
    <row r="5" spans="1:5" x14ac:dyDescent="0.2">
      <c r="A5" s="6" t="s">
        <v>470</v>
      </c>
      <c r="B5" s="7">
        <v>71</v>
      </c>
      <c r="C5" s="7">
        <v>880</v>
      </c>
      <c r="D5" s="8">
        <f>B5/C5</f>
        <v>8.0681818181818188E-2</v>
      </c>
    </row>
    <row r="6" spans="1:5" x14ac:dyDescent="0.2">
      <c r="A6" s="6" t="s">
        <v>471</v>
      </c>
      <c r="B6" s="7">
        <v>58</v>
      </c>
      <c r="C6" s="7">
        <v>440</v>
      </c>
      <c r="D6" s="8">
        <f>B6/C6</f>
        <v>0.13181818181818181</v>
      </c>
    </row>
    <row r="7" spans="1:5" x14ac:dyDescent="0.2">
      <c r="A7" s="6" t="s">
        <v>472</v>
      </c>
      <c r="B7" s="7">
        <v>13</v>
      </c>
      <c r="C7" s="7">
        <v>440</v>
      </c>
      <c r="D7" s="8">
        <f>B7/C7</f>
        <v>2.9545454545454545E-2</v>
      </c>
    </row>
    <row r="8" spans="1:5" x14ac:dyDescent="0.2">
      <c r="A8" s="6" t="s">
        <v>473</v>
      </c>
      <c r="B8" s="7">
        <v>1409</v>
      </c>
      <c r="C8" s="7">
        <v>880</v>
      </c>
      <c r="D8" s="14">
        <f>B8/C8</f>
        <v>1.6011363636363636</v>
      </c>
    </row>
    <row r="9" spans="1:5" x14ac:dyDescent="0.2">
      <c r="A9" s="2"/>
      <c r="B9" s="2"/>
      <c r="C9" s="2"/>
      <c r="D9" s="2"/>
    </row>
    <row r="10" spans="1:5" ht="28" x14ac:dyDescent="0.2">
      <c r="A10" s="5" t="s">
        <v>474</v>
      </c>
      <c r="B10" s="5" t="s">
        <v>475</v>
      </c>
      <c r="C10" s="5"/>
      <c r="D10" s="5"/>
    </row>
    <row r="11" spans="1:5" x14ac:dyDescent="0.2">
      <c r="A11" s="6" t="s">
        <v>386</v>
      </c>
      <c r="B11" s="8">
        <v>0.158</v>
      </c>
      <c r="C11" s="6"/>
      <c r="D11" s="6"/>
    </row>
    <row r="12" spans="1:5" x14ac:dyDescent="0.2">
      <c r="A12" s="6" t="s">
        <v>384</v>
      </c>
      <c r="B12" s="8">
        <v>0.123</v>
      </c>
      <c r="C12" s="6"/>
      <c r="D12" s="6"/>
    </row>
    <row r="13" spans="1:5" x14ac:dyDescent="0.2">
      <c r="A13" s="6" t="s">
        <v>383</v>
      </c>
      <c r="B13" s="8">
        <v>0.108</v>
      </c>
      <c r="C13" s="6"/>
      <c r="D13" s="6"/>
    </row>
    <row r="14" spans="1:5" x14ac:dyDescent="0.2">
      <c r="A14" s="6" t="s">
        <v>360</v>
      </c>
      <c r="B14" s="8">
        <v>4.7E-2</v>
      </c>
      <c r="C14" s="6"/>
      <c r="D14" s="6"/>
    </row>
    <row r="15" spans="1:5" x14ac:dyDescent="0.2">
      <c r="A15" s="6" t="s">
        <v>362</v>
      </c>
      <c r="B15" s="8">
        <v>2.8000000000000001E-2</v>
      </c>
      <c r="C15" s="6"/>
      <c r="D15" s="6"/>
    </row>
    <row r="16" spans="1:5" x14ac:dyDescent="0.2">
      <c r="A16" s="6" t="s">
        <v>385</v>
      </c>
      <c r="B16" s="8">
        <v>2.1000000000000001E-2</v>
      </c>
      <c r="C16" s="6"/>
      <c r="D16" s="6"/>
    </row>
    <row r="17" spans="1:5" x14ac:dyDescent="0.2">
      <c r="A17" s="2"/>
      <c r="B17" s="2"/>
      <c r="C17" s="2"/>
      <c r="D17" s="2"/>
      <c r="E17" s="2"/>
    </row>
    <row r="18" spans="1:5" ht="45" customHeight="1" x14ac:dyDescent="0.2">
      <c r="A18" s="24" t="s">
        <v>476</v>
      </c>
      <c r="B18" s="24"/>
      <c r="C18" s="24"/>
      <c r="D18" s="24"/>
      <c r="E18" s="24"/>
    </row>
    <row r="19" spans="1:5" x14ac:dyDescent="0.2">
      <c r="A19" s="2"/>
      <c r="B19" s="2"/>
      <c r="C19" s="2"/>
      <c r="D19" s="2"/>
      <c r="E19" s="2"/>
    </row>
    <row r="20" spans="1:5" x14ac:dyDescent="0.2">
      <c r="A20" s="5" t="s">
        <v>227</v>
      </c>
      <c r="B20" s="5"/>
      <c r="C20" s="5"/>
      <c r="D20" s="5"/>
      <c r="E20" s="5"/>
    </row>
    <row r="21" spans="1:5" ht="28" x14ac:dyDescent="0.2">
      <c r="A21" s="11" t="s">
        <v>477</v>
      </c>
      <c r="B21" s="6"/>
      <c r="C21" s="6"/>
      <c r="D21" s="6"/>
      <c r="E21" s="6"/>
    </row>
  </sheetData>
  <mergeCells count="1"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5" width="12" customWidth="1"/>
    <col min="6" max="7" width="14" customWidth="1"/>
  </cols>
  <sheetData>
    <row r="1" spans="1:7" ht="18" x14ac:dyDescent="0.2">
      <c r="A1" s="1" t="s">
        <v>121</v>
      </c>
      <c r="B1" s="2"/>
      <c r="C1" s="2"/>
      <c r="D1" s="2"/>
      <c r="E1" s="2"/>
      <c r="F1" s="2"/>
      <c r="G1" s="2"/>
    </row>
    <row r="2" spans="1:7" x14ac:dyDescent="0.2">
      <c r="A2" s="3" t="s">
        <v>478</v>
      </c>
      <c r="B2" s="2"/>
      <c r="C2" s="2"/>
      <c r="D2" s="2"/>
      <c r="E2" s="2"/>
      <c r="F2" s="2"/>
      <c r="G2" s="2"/>
    </row>
    <row r="3" spans="1:7" x14ac:dyDescent="0.2">
      <c r="A3" s="2"/>
      <c r="B3" s="2"/>
      <c r="C3" s="2"/>
      <c r="D3" s="2"/>
      <c r="E3" s="2"/>
      <c r="F3" s="2"/>
      <c r="G3" s="2"/>
    </row>
    <row r="4" spans="1:7" x14ac:dyDescent="0.2">
      <c r="A4" s="5" t="s">
        <v>376</v>
      </c>
      <c r="B4" s="5" t="s">
        <v>479</v>
      </c>
      <c r="C4" s="5" t="s">
        <v>480</v>
      </c>
      <c r="D4" s="5" t="s">
        <v>481</v>
      </c>
      <c r="E4" s="5" t="s">
        <v>482</v>
      </c>
      <c r="F4" s="5" t="s">
        <v>483</v>
      </c>
      <c r="G4" s="5" t="s">
        <v>484</v>
      </c>
    </row>
    <row r="5" spans="1:7" x14ac:dyDescent="0.2">
      <c r="A5" s="6" t="s">
        <v>383</v>
      </c>
      <c r="B5" s="7">
        <v>12536</v>
      </c>
      <c r="C5" s="7">
        <v>7553</v>
      </c>
      <c r="D5" s="7">
        <v>7066</v>
      </c>
      <c r="E5" s="7">
        <v>2000</v>
      </c>
      <c r="F5" s="6" t="str">
        <f t="shared" ref="F5:F13" si="0">IF(B5&gt;=E5,"sí","no")</f>
        <v>sí</v>
      </c>
      <c r="G5" s="8">
        <f t="shared" ref="G5:G13" si="1">1-C5/B5</f>
        <v>0.39749521378430119</v>
      </c>
    </row>
    <row r="6" spans="1:7" x14ac:dyDescent="0.2">
      <c r="A6" s="6" t="s">
        <v>386</v>
      </c>
      <c r="B6" s="7">
        <v>3138</v>
      </c>
      <c r="C6" s="7">
        <v>2103</v>
      </c>
      <c r="D6" s="7">
        <v>1950</v>
      </c>
      <c r="E6" s="7">
        <v>2000</v>
      </c>
      <c r="F6" s="6" t="str">
        <f t="shared" si="0"/>
        <v>sí</v>
      </c>
      <c r="G6" s="8">
        <f t="shared" si="1"/>
        <v>0.32982791586998084</v>
      </c>
    </row>
    <row r="7" spans="1:7" x14ac:dyDescent="0.2">
      <c r="A7" s="6" t="s">
        <v>359</v>
      </c>
      <c r="B7" s="7">
        <v>2944</v>
      </c>
      <c r="C7" s="7">
        <v>1531</v>
      </c>
      <c r="D7" s="7">
        <v>1439</v>
      </c>
      <c r="E7" s="7">
        <v>2000</v>
      </c>
      <c r="F7" s="6" t="str">
        <f t="shared" si="0"/>
        <v>sí</v>
      </c>
      <c r="G7" s="8">
        <f t="shared" si="1"/>
        <v>0.47995923913043481</v>
      </c>
    </row>
    <row r="8" spans="1:7" x14ac:dyDescent="0.2">
      <c r="A8" s="6" t="s">
        <v>384</v>
      </c>
      <c r="B8" s="7">
        <v>3444</v>
      </c>
      <c r="C8" s="7">
        <v>2054</v>
      </c>
      <c r="D8" s="7">
        <v>1928</v>
      </c>
      <c r="E8" s="7">
        <v>2000</v>
      </c>
      <c r="F8" s="6" t="str">
        <f t="shared" si="0"/>
        <v>sí</v>
      </c>
      <c r="G8" s="8">
        <f t="shared" si="1"/>
        <v>0.40360046457607435</v>
      </c>
    </row>
    <row r="9" spans="1:7" x14ac:dyDescent="0.2">
      <c r="A9" s="6" t="s">
        <v>360</v>
      </c>
      <c r="B9" s="7">
        <v>4511</v>
      </c>
      <c r="C9" s="7">
        <v>1690</v>
      </c>
      <c r="D9" s="7">
        <v>1560</v>
      </c>
      <c r="E9" s="7">
        <v>2000</v>
      </c>
      <c r="F9" s="6" t="str">
        <f t="shared" si="0"/>
        <v>sí</v>
      </c>
      <c r="G9" s="8">
        <f t="shared" si="1"/>
        <v>0.62536023054755041</v>
      </c>
    </row>
    <row r="10" spans="1:7" x14ac:dyDescent="0.2">
      <c r="A10" s="6" t="s">
        <v>385</v>
      </c>
      <c r="B10" s="7">
        <v>3330</v>
      </c>
      <c r="C10" s="7">
        <v>2072</v>
      </c>
      <c r="D10" s="7">
        <v>1953</v>
      </c>
      <c r="E10" s="7">
        <v>2000</v>
      </c>
      <c r="F10" s="6" t="str">
        <f t="shared" si="0"/>
        <v>sí</v>
      </c>
      <c r="G10" s="8">
        <f t="shared" si="1"/>
        <v>0.37777777777777777</v>
      </c>
    </row>
    <row r="11" spans="1:7" x14ac:dyDescent="0.2">
      <c r="A11" s="6" t="s">
        <v>361</v>
      </c>
      <c r="B11" s="7">
        <v>878</v>
      </c>
      <c r="C11" s="7">
        <v>526</v>
      </c>
      <c r="D11" s="7">
        <v>508</v>
      </c>
      <c r="E11" s="7">
        <v>958</v>
      </c>
      <c r="F11" s="6" t="str">
        <f t="shared" si="0"/>
        <v>no</v>
      </c>
      <c r="G11" s="8">
        <f t="shared" si="1"/>
        <v>0.40091116173120733</v>
      </c>
    </row>
    <row r="12" spans="1:7" x14ac:dyDescent="0.2">
      <c r="A12" s="6" t="s">
        <v>362</v>
      </c>
      <c r="B12" s="7">
        <v>1649</v>
      </c>
      <c r="C12" s="7">
        <v>810</v>
      </c>
      <c r="D12" s="7">
        <v>784</v>
      </c>
      <c r="E12" s="7">
        <v>1786</v>
      </c>
      <c r="F12" s="6" t="str">
        <f t="shared" si="0"/>
        <v>no</v>
      </c>
      <c r="G12" s="8">
        <f t="shared" si="1"/>
        <v>0.50879320800485139</v>
      </c>
    </row>
    <row r="13" spans="1:7" x14ac:dyDescent="0.2">
      <c r="A13" s="6" t="s">
        <v>363</v>
      </c>
      <c r="B13" s="7">
        <v>1660</v>
      </c>
      <c r="C13" s="7">
        <v>1184</v>
      </c>
      <c r="D13" s="7">
        <v>1152</v>
      </c>
      <c r="E13" s="7">
        <v>1776</v>
      </c>
      <c r="F13" s="6" t="str">
        <f t="shared" si="0"/>
        <v>no</v>
      </c>
      <c r="G13" s="8">
        <f t="shared" si="1"/>
        <v>0.2867469879518072</v>
      </c>
    </row>
    <row r="14" spans="1:7" x14ac:dyDescent="0.2">
      <c r="A14" s="2"/>
      <c r="B14" s="2"/>
      <c r="C14" s="2"/>
      <c r="D14" s="2"/>
      <c r="E14" s="2"/>
      <c r="F14" s="2"/>
      <c r="G14" s="2"/>
    </row>
    <row r="15" spans="1:7" ht="75" customHeight="1" x14ac:dyDescent="0.2">
      <c r="A15" s="24" t="s">
        <v>485</v>
      </c>
      <c r="B15" s="24"/>
      <c r="C15" s="24"/>
      <c r="D15" s="24"/>
      <c r="E15" s="24"/>
      <c r="F15" s="24"/>
      <c r="G15" s="24"/>
    </row>
    <row r="16" spans="1:7" x14ac:dyDescent="0.2">
      <c r="A16" s="2"/>
      <c r="B16" s="2"/>
      <c r="C16" s="2"/>
      <c r="D16" s="2"/>
      <c r="E16" s="2"/>
      <c r="F16" s="2"/>
      <c r="G16" s="2"/>
    </row>
    <row r="17" spans="1:7" ht="28" x14ac:dyDescent="0.2">
      <c r="A17" s="5" t="s">
        <v>486</v>
      </c>
      <c r="B17" s="5" t="s">
        <v>487</v>
      </c>
      <c r="C17" s="5" t="s">
        <v>252</v>
      </c>
      <c r="D17" s="5" t="s">
        <v>488</v>
      </c>
      <c r="E17" s="5" t="s">
        <v>489</v>
      </c>
      <c r="F17" s="5"/>
      <c r="G17" s="5"/>
    </row>
    <row r="18" spans="1:7" x14ac:dyDescent="0.2">
      <c r="A18" s="6" t="s">
        <v>490</v>
      </c>
      <c r="B18" s="7">
        <v>2428</v>
      </c>
      <c r="C18" s="7">
        <v>2970</v>
      </c>
      <c r="D18" s="8">
        <f>B18/C18</f>
        <v>0.81750841750841752</v>
      </c>
      <c r="E18" s="7">
        <f>C18-B18</f>
        <v>542</v>
      </c>
      <c r="F18" s="6"/>
      <c r="G18" s="6"/>
    </row>
    <row r="19" spans="1:7" x14ac:dyDescent="0.2">
      <c r="A19" s="6" t="s">
        <v>491</v>
      </c>
      <c r="B19" s="7">
        <v>2463</v>
      </c>
      <c r="C19" s="7">
        <v>2970</v>
      </c>
      <c r="D19" s="8">
        <f>B19/C19</f>
        <v>0.8292929292929293</v>
      </c>
      <c r="E19" s="7">
        <f>C19-B19</f>
        <v>507</v>
      </c>
      <c r="F19" s="6"/>
      <c r="G19" s="6"/>
    </row>
    <row r="20" spans="1:7" x14ac:dyDescent="0.2">
      <c r="A20" s="2"/>
      <c r="B20" s="2"/>
      <c r="C20" s="2"/>
      <c r="D20" s="2"/>
      <c r="E20" s="2"/>
      <c r="F20" s="2"/>
      <c r="G20" s="2"/>
    </row>
    <row r="21" spans="1:7" ht="60" customHeight="1" x14ac:dyDescent="0.2">
      <c r="A21" s="24" t="s">
        <v>492</v>
      </c>
      <c r="B21" s="24"/>
      <c r="C21" s="24"/>
      <c r="D21" s="24"/>
      <c r="E21" s="24"/>
      <c r="F21" s="24"/>
      <c r="G21" s="24"/>
    </row>
  </sheetData>
  <mergeCells count="2">
    <mergeCell ref="A15:G15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"/>
  <sheetViews>
    <sheetView showGridLines="0" tabSelected="1" zoomScaleNormal="100" workbookViewId="0">
      <selection activeCell="B18" sqref="B18"/>
    </sheetView>
  </sheetViews>
  <sheetFormatPr baseColWidth="10" defaultColWidth="8.6640625" defaultRowHeight="15" x14ac:dyDescent="0.2"/>
  <cols>
    <col min="1" max="1" width="30" customWidth="1"/>
    <col min="2" max="3" width="40" customWidth="1"/>
    <col min="4" max="4" width="50" customWidth="1"/>
  </cols>
  <sheetData>
    <row r="1" spans="1:4" ht="18" x14ac:dyDescent="0.2">
      <c r="A1" s="1" t="s">
        <v>493</v>
      </c>
      <c r="B1" s="2"/>
      <c r="C1" s="2"/>
      <c r="D1" s="2"/>
    </row>
    <row r="2" spans="1:4" x14ac:dyDescent="0.2">
      <c r="A2" s="3" t="s">
        <v>494</v>
      </c>
      <c r="B2" s="2"/>
      <c r="C2" s="2"/>
      <c r="D2" s="2"/>
    </row>
    <row r="3" spans="1:4" x14ac:dyDescent="0.2">
      <c r="A3" s="2"/>
      <c r="B3" s="2"/>
      <c r="C3" s="2"/>
      <c r="D3" s="2"/>
    </row>
    <row r="4" spans="1:4" x14ac:dyDescent="0.2">
      <c r="A4" s="5" t="s">
        <v>495</v>
      </c>
      <c r="B4" s="5" t="s">
        <v>496</v>
      </c>
      <c r="C4" s="5" t="s">
        <v>497</v>
      </c>
      <c r="D4" s="5" t="s">
        <v>498</v>
      </c>
    </row>
    <row r="5" spans="1:4" ht="28" x14ac:dyDescent="0.2">
      <c r="A5" s="6" t="s">
        <v>499</v>
      </c>
      <c r="B5" s="6" t="s">
        <v>500</v>
      </c>
      <c r="C5" s="6" t="s">
        <v>501</v>
      </c>
      <c r="D5" s="6" t="s">
        <v>502</v>
      </c>
    </row>
    <row r="6" spans="1:4" ht="28" x14ac:dyDescent="0.2">
      <c r="A6" s="6" t="s">
        <v>503</v>
      </c>
      <c r="B6" s="6" t="s">
        <v>504</v>
      </c>
      <c r="C6" s="6" t="s">
        <v>505</v>
      </c>
      <c r="D6" s="6" t="s">
        <v>506</v>
      </c>
    </row>
    <row r="7" spans="1:4" ht="28" x14ac:dyDescent="0.2">
      <c r="A7" s="6" t="s">
        <v>507</v>
      </c>
      <c r="B7" s="6" t="s">
        <v>508</v>
      </c>
      <c r="C7" s="6" t="s">
        <v>509</v>
      </c>
      <c r="D7" s="6" t="s">
        <v>510</v>
      </c>
    </row>
    <row r="8" spans="1:4" ht="28" x14ac:dyDescent="0.2">
      <c r="A8" s="6" t="s">
        <v>511</v>
      </c>
      <c r="B8" s="6" t="s">
        <v>512</v>
      </c>
      <c r="C8" s="6" t="s">
        <v>513</v>
      </c>
      <c r="D8" s="6" t="s">
        <v>514</v>
      </c>
    </row>
    <row r="9" spans="1:4" ht="28" x14ac:dyDescent="0.2">
      <c r="A9" s="6" t="s">
        <v>515</v>
      </c>
      <c r="B9" s="6" t="s">
        <v>516</v>
      </c>
      <c r="C9" s="6" t="s">
        <v>517</v>
      </c>
      <c r="D9" s="6" t="s">
        <v>518</v>
      </c>
    </row>
    <row r="10" spans="1:4" ht="28" x14ac:dyDescent="0.2">
      <c r="A10" s="6" t="s">
        <v>10</v>
      </c>
      <c r="B10" s="6" t="s">
        <v>519</v>
      </c>
      <c r="C10" s="6" t="s">
        <v>520</v>
      </c>
      <c r="D10" s="6" t="s">
        <v>521</v>
      </c>
    </row>
    <row r="11" spans="1:4" ht="28" x14ac:dyDescent="0.2">
      <c r="A11" s="6" t="s">
        <v>35</v>
      </c>
      <c r="B11" s="6" t="s">
        <v>522</v>
      </c>
      <c r="C11" s="6" t="s">
        <v>523</v>
      </c>
      <c r="D11" s="6" t="s">
        <v>524</v>
      </c>
    </row>
    <row r="12" spans="1:4" ht="28" x14ac:dyDescent="0.2">
      <c r="A12" s="6" t="s">
        <v>525</v>
      </c>
      <c r="B12" s="6" t="s">
        <v>526</v>
      </c>
      <c r="C12" s="6" t="s">
        <v>527</v>
      </c>
      <c r="D12" s="6" t="s">
        <v>528</v>
      </c>
    </row>
    <row r="13" spans="1:4" ht="28" x14ac:dyDescent="0.2">
      <c r="A13" s="6" t="s">
        <v>529</v>
      </c>
      <c r="B13" s="6" t="s">
        <v>40</v>
      </c>
      <c r="C13" s="6" t="s">
        <v>530</v>
      </c>
      <c r="D13" s="6" t="s">
        <v>531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Léeme</vt:lpstr>
      <vt:lpstr>Proceso</vt:lpstr>
      <vt:lpstr>Corpus</vt:lpstr>
      <vt:lpstr>A1</vt:lpstr>
      <vt:lpstr>A1_histograma</vt:lpstr>
      <vt:lpstr>A2_selección</vt:lpstr>
      <vt:lpstr>A2_producción</vt:lpstr>
      <vt:lpstr>A2_rendimiento</vt:lpstr>
      <vt:lpstr>Oferta</vt:lpstr>
      <vt:lpstr>Calibraciones</vt:lpstr>
      <vt:lpstr>A3_diseño</vt:lpstr>
      <vt:lpstr>A3_rondas</vt:lpstr>
      <vt:lpstr>A3_ola1</vt:lpstr>
      <vt:lpstr>Aislamiento</vt:lpstr>
      <vt:lpstr>Desviaciones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Alejandra Barbosa</cp:lastModifiedBy>
  <cp:revision>1</cp:revision>
  <dcterms:created xsi:type="dcterms:W3CDTF">2026-10-24T17:41:52Z</dcterms:created>
  <dcterms:modified xsi:type="dcterms:W3CDTF">2026-10-24T21:29:15Z</dcterms:modified>
  <dc:language>en-US</dc:language>
</cp:coreProperties>
</file>